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<sst xmlns="http://schemas.openxmlformats.org/spreadsheetml/2006/main" count="406" uniqueCount="168">
  <si>
    <t>Carimbo de data/hora</t>
  </si>
  <si>
    <t>Seu nome completo:</t>
  </si>
  <si>
    <t>Seu número de celular:</t>
  </si>
  <si>
    <t>Equipe que está servindo:</t>
  </si>
  <si>
    <t>Selecione os horários em que você tem disponibilidade para rezar. Pode selecionar mais de um! [Sexta-feira (17/04) - 7h00 às 7h30]</t>
  </si>
  <si>
    <t>Selecione os horários em que você tem disponibilidade para rezar. Pode selecionar mais de um! [Sexta-feira (17/04) - 7h30 às 8h00]</t>
  </si>
  <si>
    <t>Selecione os horários em que você tem disponibilidade para rezar. Você pode e DEVE selecionar mais de um! [Sexta-feira (17/04) - 8h00 às 8h30]</t>
  </si>
  <si>
    <t>Selecione os horários em que você tem disponibilidade para rezar. Selecione mais de um para facilitar o trabalho dos coordenadores! Por favor [Sexta-feira (17/04) - 8h30 às 9h00]</t>
  </si>
  <si>
    <t>Selecione os horários em que você tem disponibilidade para rezar. Selecione mais de um para facilitar o trabalho dos coordenadores! Por favor [Sexta-feira (17/04) - 9h00 às 9h30]</t>
  </si>
  <si>
    <t>Selecione os horários em que você tem disponibilidade para rezar. Selecione mais de um para facilitar o trabalho dos coordenadores! Por favor [Sexta-feira (17/04) - 9h30 às 10h00]</t>
  </si>
  <si>
    <t>Selecione os horários em que você tem disponibilidade para rezar. Pode selecionar mais de um! [Sexta-feira (17/04) - 10h00 às 10h30]</t>
  </si>
  <si>
    <t>Selecione os horários em que você tem disponibilidade para rezar. Selecione mais de um para facilitar o trabalho dos coordenadores! Por favor [Sexta-feira (17/04) - 10h30 às 11h00]</t>
  </si>
  <si>
    <t>Selecione os horários em que você tem disponibilidade para rezar. Pode selecionar mais de um! [Sexta-feira (17/04) - 11h00 às 11h30]</t>
  </si>
  <si>
    <t>Selecione os horários em que você tem disponibilidade para rezar. Pode selecionar mais de um! [Sexta-feira (17/04) - 11h30 às 12h00]</t>
  </si>
  <si>
    <t>Selecione os horários em que você tem disponibilidade para rezar. Pode selecionar mais de um! [Sexta-feira (17/04) - 12h00 às 12h30]</t>
  </si>
  <si>
    <t>Selecione os horários em que você tem disponibilidade para rezar. Pode selecionar mais de um! [Sexta-feira (17/04) - 12h30 às 13h00]</t>
  </si>
  <si>
    <t>Selecione os horários em que você tem disponibilidade para rezar. Pode selecionar mais de um! [Sexta-feira (17/04) - 13h00 às 13h30]</t>
  </si>
  <si>
    <t>Selecione os horários em que você tem disponibilidade para rezar. Pode selecionar mais de um! [Sexta-feira (17/04) - 13h30 às 14h00]</t>
  </si>
  <si>
    <t>Selecione os horários em que você tem disponibilidade para rezar. Pode selecionar mais de um! [Sexta-feira (17/04) - 14h00 às 14h30]</t>
  </si>
  <si>
    <t>Selecione os horários em que você tem disponibilidade para rezar. Pode selecionar mais de um! [Sexta-feira (17/04) - 14h30 às 15h00]</t>
  </si>
  <si>
    <t>Selecione os horários em que você tem disponibilidade para rezar. Pode selecionar mais de um! [Sexta-feira (17/04) - 15h00 às 15h30]</t>
  </si>
  <si>
    <t>Selecione os horários em que você tem disponibilidade para rezar. Você pode e DEVE selecionar mais de um! [Sexta-feira (17/04) - 15h30 às 16h00]</t>
  </si>
  <si>
    <t>Selecione os horários em que você tem disponibilidade para rezar. Você pode e DEVE selecionar mais de um! [Sexta-feira (17/04) - 16h00 às 16h30]</t>
  </si>
  <si>
    <t>Selecione os horários em que você tem disponibilidade para rezar. Pode selecionar mais de um! [Sexta-feira (17/04) - 16h30 às 17h00]</t>
  </si>
  <si>
    <t>Selecione os horários em que você tem disponibilidade para rezar. Pode selecionar mais de um! [Sexta-feira (17/04) - 17h00 às 17h30]</t>
  </si>
  <si>
    <t>Selecione os horários em que você tem disponibilidade para rezar. Você pode e DEVE selecionar mais de um! [Sexta-feira (17/04) - 17h30 às 18h00]</t>
  </si>
  <si>
    <t>Selecione os horários em que você tem disponibilidade para rezar. Você pode e DEVE selecionar mais de um! [Sexta-feira (17/04) - 18h00 às 18h30]</t>
  </si>
  <si>
    <t>Selecione os horários em que você tem disponibilidade para rezar. Você pode e DEVE selecionar mais de um! [Sexta-feira (17/04) - 18h30 às 19h00]</t>
  </si>
  <si>
    <t>Selecione os horários em que você tem disponibilidade para rezar. Pode selecionar mais de um! [Sexta-feira (17/04) - 19h00 às 19h30]</t>
  </si>
  <si>
    <t>Selecione os horários em que você tem disponibilidade para rezar. Selecione mais de um para facilitar o trabalho dos coordenadores! Por favor [Sexta-feira (17/04) - 19h30 às 20h00]</t>
  </si>
  <si>
    <t>Selecione os horários em que você tem disponibilidade para rezar. Selecione mais de um para facilitar o trabalho dos coordenadores! Por favor [Sexta-feira (17/04) - 20h00 às 20h30]</t>
  </si>
  <si>
    <t>Selecione os horários em que você tem disponibilidade para rezar. Pode selecionar mais de um! [Sexta-feira (17/04) - 20h30 às 21h00]</t>
  </si>
  <si>
    <t>Selecione os horários em que você tem disponibilidade para rezar. Pode selecionar mais de um! [Sexta-feira (17/04) - 21h00 às 21h30]</t>
  </si>
  <si>
    <t>Selecione os horários em que você tem disponibilidade para rezar. Pode selecionar mais de um! [Sexta-feira (17/04) - 21h30 às 22h00]</t>
  </si>
  <si>
    <t>Selecione os horários em que você tem disponibilidade para rezar. Pode selecionar mais de um! [Sexta-feira (17/04) - 22h00 às 22h30]</t>
  </si>
  <si>
    <t>Selecione os horários em que você tem disponibilidade para rezar. Você pode e DEVE selecionar mais de um! [Sexta-feira (17/04) - 22h30 às 23h00]</t>
  </si>
  <si>
    <t>Selecione os horários em que você tem disponibilidade para rezar. Pode selecionar mais de um! [Sexta-feira (17/04) - 23h00 às 23h30]</t>
  </si>
  <si>
    <t>Selecione os horários em que você tem disponibilidade para rezar. Pode selecionar mais de um! [Sexta-feira (17/04) - 23h30 às 00h00]</t>
  </si>
  <si>
    <t>Selecione os horários em que você tem disponibilidade para rezar. Pode selecionar mais de um! [Sábado (18/04) - 00h00 às 00h30]</t>
  </si>
  <si>
    <t>Selecione os horários em que você tem disponibilidade para rezar. Você pode e DEVE selecionar mais de um! [Sábado (18/04) - 00h30 às 1h00]</t>
  </si>
  <si>
    <t>Selecione os horários em que você tem disponibilidade para rezar. Selecione mais de um para facilitar o trabalho dos coordenadores! Por favor [Sábado (18/04) - 1h00 às 1h30]</t>
  </si>
  <si>
    <t>Selecione os horários em que você tem disponibilidade para rezar. Selecione mais de um para facilitar o trabalho dos coordenadores! Por favor [Sábado (18/04) - 1h30 às 2h00]</t>
  </si>
  <si>
    <t>Selecione os horários em que você tem disponibilidade para rezar. Selecione mais de um para facilitar o trabalho dos coordenadores! Por favor [Sábado (18/04) - 2h00 às 2h30]</t>
  </si>
  <si>
    <t>Selecione os horários em que você tem disponibilidade para rezar. Você pode e DEVE selecionar mais de um! [Sábado (18/04) - 2h30 às 3h00]</t>
  </si>
  <si>
    <t>Selecione os horários em que você tem disponibilidade para rezar. Pode selecionar mais de um! [Sábado (18/04) - 3h00 às 3h30]</t>
  </si>
  <si>
    <t>Selecione os horários em que você tem disponibilidade para rezar. Selecione mais de um para facilitar o trabalho dos coordenadores! Por favor [Sábado (18/04) - 3h30 às 4h00]</t>
  </si>
  <si>
    <t>Selecione os horários em que você tem disponibilidade para rezar. Selecione mais de um para facilitar o trabalho dos coordenadores! Por favor [Sábado (18/04) - 4h00 às 4h30]</t>
  </si>
  <si>
    <t>Selecione os horários em que você tem disponibilidade para rezar. Selecione mais de um para facilitar o trabalho dos coordenadores! Por favor [Sábado (18/04) - 4h30 às 5h00]</t>
  </si>
  <si>
    <t>Selecione os horários em que você tem disponibilidade para rezar. Você pode e DEVE selecionar mais de um! [Sábado (18/04) - 5h00 às 5h30]</t>
  </si>
  <si>
    <t>Selecione os horários em que você tem disponibilidade para rezar. Você pode e DEVE selecionar mais de um! [Sábado (18/04) - 5h30 às 6h00]</t>
  </si>
  <si>
    <t>Selecione os horários em que você tem disponibilidade para rezar. Selecione mais de um para facilitar o trabalho dos coordenadores! Por favor [Sábado (18/04) - 6h00 às 6h30]</t>
  </si>
  <si>
    <t>Selecione os horários em que você tem disponibilidade para rezar. Selecione mais de um para facilitar o trabalho dos coordenadores! Por favor [Sábado (18/04) - 6h30 às 7h00]</t>
  </si>
  <si>
    <t>Selecione os horários em que você tem disponibilidade para rezar. Selecione mais de um para facilitar o trabalho dos coordenadores! Por favor [Sábado (18/04) - 3h00 às 3h30]</t>
  </si>
  <si>
    <t>Selecione os horários em que você tem disponibilidade para rezar. Selecione mais de um para facilitar o trabalho dos coordenadores! Por favor [Sexta (17/04) - 8h30 às 9h]</t>
  </si>
  <si>
    <t>Renata Camarão Figueiredo Fernandes</t>
  </si>
  <si>
    <t xml:space="preserve">83 988619190 </t>
  </si>
  <si>
    <t xml:space="preserve">Missa e Oração </t>
  </si>
  <si>
    <t>Participar</t>
  </si>
  <si>
    <t xml:space="preserve">Amilcar Célio França Pessoa </t>
  </si>
  <si>
    <t>83 99382-1281</t>
  </si>
  <si>
    <t>Missa e Oração</t>
  </si>
  <si>
    <t>Tenho disponibilidade</t>
  </si>
  <si>
    <t>Clara Jesumira Cordeiro forte</t>
  </si>
  <si>
    <t>83 999653281</t>
  </si>
  <si>
    <t>Rodrigo Cavalcante Almeida Filho</t>
  </si>
  <si>
    <t>(83) 99658-7639</t>
  </si>
  <si>
    <t>Limpeza</t>
  </si>
  <si>
    <t xml:space="preserve">Maria Eduarda Alves de Menezes </t>
  </si>
  <si>
    <t xml:space="preserve">Círculos </t>
  </si>
  <si>
    <t xml:space="preserve">Suzanne Spinelli de Figueirêdo Pessoa </t>
  </si>
  <si>
    <t xml:space="preserve">83 99133-0021 </t>
  </si>
  <si>
    <t xml:space="preserve">Mídia E Comunicação </t>
  </si>
  <si>
    <t>Ana Rosa Borba Coutinho</t>
  </si>
  <si>
    <t>Tráfego</t>
  </si>
  <si>
    <t xml:space="preserve">Ana Beatriz Alves Wanderley </t>
  </si>
  <si>
    <t xml:space="preserve">Animação </t>
  </si>
  <si>
    <t>Bruno Barros de Andrade</t>
  </si>
  <si>
    <t>03183999244142</t>
  </si>
  <si>
    <t>Vigília</t>
  </si>
  <si>
    <t>Vitor Schuler Velloso Borges</t>
  </si>
  <si>
    <t>83 999460890</t>
  </si>
  <si>
    <t xml:space="preserve">Luciana Karla de Melo Madruga Navarro e Adriano Madruga Navarro </t>
  </si>
  <si>
    <t>(83) 98728-6266</t>
  </si>
  <si>
    <t xml:space="preserve">Equipe Dirigente </t>
  </si>
  <si>
    <t xml:space="preserve">Paula Cavalcanti Sorrentino Rolim </t>
  </si>
  <si>
    <t xml:space="preserve">83 998124555 </t>
  </si>
  <si>
    <t xml:space="preserve">Lanchinho </t>
  </si>
  <si>
    <t xml:space="preserve">Marcelli Pessoa </t>
  </si>
  <si>
    <t>84 997092799</t>
  </si>
  <si>
    <t xml:space="preserve">Recepção </t>
  </si>
  <si>
    <t>Giulia Maria Santos Leite</t>
  </si>
  <si>
    <t>(83)993821223</t>
  </si>
  <si>
    <t xml:space="preserve">Agnes Maria Fernandes de Araújo Guedes </t>
  </si>
  <si>
    <t xml:space="preserve">83 98828-7906 </t>
  </si>
  <si>
    <t xml:space="preserve">Marina Carneiro </t>
  </si>
  <si>
    <t xml:space="preserve">Michel Arthur Venâncio Piauí </t>
  </si>
  <si>
    <t xml:space="preserve">83 9 9633-0856 </t>
  </si>
  <si>
    <t>Lanchinho</t>
  </si>
  <si>
    <t xml:space="preserve">Luiza Mendes de Gusmão </t>
  </si>
  <si>
    <t>83 9 96656493</t>
  </si>
  <si>
    <t xml:space="preserve">Limpeza </t>
  </si>
  <si>
    <t>Maria Júlia Simões de Medeiros</t>
  </si>
  <si>
    <t>Bandinha</t>
  </si>
  <si>
    <t>João Gabriel Toledo</t>
  </si>
  <si>
    <t>Lanche</t>
  </si>
  <si>
    <t>Lucas Farias de Medeiros</t>
  </si>
  <si>
    <t>83 9 9677 4337</t>
  </si>
  <si>
    <t xml:space="preserve">brunna Gabrielle Fonseca de araujo </t>
  </si>
  <si>
    <t xml:space="preserve">encenação </t>
  </si>
  <si>
    <t>Maria Marinho Lira Batista</t>
  </si>
  <si>
    <t xml:space="preserve">Bandinha </t>
  </si>
  <si>
    <t xml:space="preserve">Ana Amélia Graça Braga Fernandes </t>
  </si>
  <si>
    <t>(83)999229217</t>
  </si>
  <si>
    <t>ED</t>
  </si>
  <si>
    <t xml:space="preserve">Telma braz de Sousa </t>
  </si>
  <si>
    <t xml:space="preserve">Maria Alice Nóbrega Varandas </t>
  </si>
  <si>
    <t>Amanda Marinho L. Batista</t>
  </si>
  <si>
    <t>83 99855-0877</t>
  </si>
  <si>
    <t xml:space="preserve">Aglaé Maria Fernandes Germano </t>
  </si>
  <si>
    <t xml:space="preserve">83 98826-6147 </t>
  </si>
  <si>
    <t xml:space="preserve">Tráfego </t>
  </si>
  <si>
    <t>Giovana de Andrade Lira</t>
  </si>
  <si>
    <t>Animação</t>
  </si>
  <si>
    <t xml:space="preserve">Daniel Fernandes de Azevedo </t>
  </si>
  <si>
    <t xml:space="preserve">11 99612 4057 </t>
  </si>
  <si>
    <t>Murilo Vinícius Cunha de Meireles</t>
  </si>
  <si>
    <t>83 999798334</t>
  </si>
  <si>
    <t>Coordenação Geral ( apoio jovem )</t>
  </si>
  <si>
    <t>Jessyca Dantas Forte</t>
  </si>
  <si>
    <t xml:space="preserve">Nenhuma </t>
  </si>
  <si>
    <t xml:space="preserve">Maria Clara Vasconcelos </t>
  </si>
  <si>
    <t xml:space="preserve">Aderson Moreira Batista </t>
  </si>
  <si>
    <t>(83) 996011458</t>
  </si>
  <si>
    <t xml:space="preserve">Ordem e limpeza </t>
  </si>
  <si>
    <t xml:space="preserve">Ângela Alves </t>
  </si>
  <si>
    <t xml:space="preserve">Mídia e Comunicação </t>
  </si>
  <si>
    <t xml:space="preserve">maria ester timóteo aniceto </t>
  </si>
  <si>
    <t>83 998557396</t>
  </si>
  <si>
    <t xml:space="preserve">mídia e comunicação </t>
  </si>
  <si>
    <t>Isllan Namurth de Sousa Faheina</t>
  </si>
  <si>
    <t xml:space="preserve">Circulos </t>
  </si>
  <si>
    <t>Leonardo</t>
  </si>
  <si>
    <t>83 9604-1221</t>
  </si>
  <si>
    <t>Luciane</t>
  </si>
  <si>
    <t>+55 83 9609-1898</t>
  </si>
  <si>
    <t xml:space="preserve">Flávia Bernardo Ferreira </t>
  </si>
  <si>
    <t xml:space="preserve">Missa e oração </t>
  </si>
  <si>
    <t>Lucineide Lins Aquino de Souza</t>
  </si>
  <si>
    <t>83 999225227</t>
  </si>
  <si>
    <t xml:space="preserve">Lívio Venâncio dos Santos Neves </t>
  </si>
  <si>
    <t>Josilaine Pereira</t>
  </si>
  <si>
    <t>Mídia e comunicação</t>
  </si>
  <si>
    <t>Horário</t>
  </si>
  <si>
    <t>Vagas Restantes</t>
  </si>
  <si>
    <t>Pessoa Designada</t>
  </si>
  <si>
    <t>Pessoas Disponíveis</t>
  </si>
  <si>
    <t>Suzanne Spinelli de Figueirêdo Pessoa</t>
  </si>
  <si>
    <t xml:space="preserve">Isllan Namurth de Sousa Faheina </t>
  </si>
  <si>
    <t>Marina Carneiro</t>
  </si>
  <si>
    <t>Amilcar Célio França Pessoa</t>
  </si>
  <si>
    <t>Ana Amélia Graça Braga Fernandes</t>
  </si>
  <si>
    <t>Marcelli Pessoa</t>
  </si>
  <si>
    <t>Michel Arthur Venâncio Piauí</t>
  </si>
  <si>
    <t>Paula Cavalcanti Sorrentino Rolim</t>
  </si>
  <si>
    <t>Agnes Maria Fernandes de Araújo Guedes</t>
  </si>
  <si>
    <t>Ana Beatriz Alves Wanderley</t>
  </si>
  <si>
    <t>Lívio Venâncio dos Santos Neves</t>
  </si>
  <si>
    <t>Aglaé Maria Fernandes Germano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</si>
</sst>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B44" displayName="Form_Responses" name="Form_Responses" id="1">
  <tableColumns count="54">
    <tableColumn name="Carimbo de data/hora" id="1"/>
    <tableColumn name="Seu nome completo:" id="2"/>
    <tableColumn name="Seu número de celular:" id="3"/>
    <tableColumn name="Equipe que está servindo:" id="4"/>
    <tableColumn name="Selecione os horários em que você tem disponibilidade para rezar. Pode selecionar mais de um! [Sexta-feira (17/04) - 7h00 às 7h30]" id="5"/>
    <tableColumn name="Selecione os horários em que você tem disponibilidade para rezar. Pode selecionar mais de um! [Sexta-feira (17/04) - 7h30 às 8h00]" id="6"/>
    <tableColumn name="Selecione os horários em que você tem disponibilidade para rezar. Você pode e DEVE selecionar mais de um! [Sexta-feira (17/04) - 8h00 às 8h30]" id="7"/>
    <tableColumn name="Selecione os horários em que você tem disponibilidade para rezar. Selecione mais de um para facilitar o trabalho dos coordenadores! Por favor [Sexta-feira (17/04) - 8h30 às 9h00]" id="8"/>
    <tableColumn name="Selecione os horários em que você tem disponibilidade para rezar. Selecione mais de um para facilitar o trabalho dos coordenadores! Por favor [Sexta-feira (17/04) - 9h00 às 9h30]" id="9"/>
    <tableColumn name="Selecione os horários em que você tem disponibilidade para rezar. Selecione mais de um para facilitar o trabalho dos coordenadores! Por favor [Sexta-feira (17/04) - 9h30 às 10h00]" id="10"/>
    <tableColumn name="Selecione os horários em que você tem disponibilidade para rezar. Pode selecionar mais de um! [Sexta-feira (17/04) - 10h00 às 10h30]" id="11"/>
    <tableColumn name="Selecione os horários em que você tem disponibilidade para rezar. Selecione mais de um para facilitar o trabalho dos coordenadores! Por favor [Sexta-feira (17/04) - 10h30 às 11h00]" id="12"/>
    <tableColumn name="Selecione os horários em que você tem disponibilidade para rezar. Pode selecionar mais de um! [Sexta-feira (17/04) - 11h00 às 11h30]" id="13"/>
    <tableColumn name="Selecione os horários em que você tem disponibilidade para rezar. Pode selecionar mais de um! [Sexta-feira (17/04) - 11h30 às 12h00]" id="14"/>
    <tableColumn name="Selecione os horários em que você tem disponibilidade para rezar. Pode selecionar mais de um! [Sexta-feira (17/04) - 12h00 às 12h30]" id="15"/>
    <tableColumn name="Selecione os horários em que você tem disponibilidade para rezar. Pode selecionar mais de um! [Sexta-feira (17/04) - 12h30 às 13h00]" id="16"/>
    <tableColumn name="Selecione os horários em que você tem disponibilidade para rezar. Pode selecionar mais de um! [Sexta-feira (17/04) - 13h00 às 13h30]" id="17"/>
    <tableColumn name="Selecione os horários em que você tem disponibilidade para rezar. Pode selecionar mais de um! [Sexta-feira (17/04) - 13h30 às 14h00]" id="18"/>
    <tableColumn name="Selecione os horários em que você tem disponibilidade para rezar. Pode selecionar mais de um! [Sexta-feira (17/04) - 14h00 às 14h30]" id="19"/>
    <tableColumn name="Selecione os horários em que você tem disponibilidade para rezar. Pode selecionar mais de um! [Sexta-feira (17/04) - 14h30 às 15h00]" id="20"/>
    <tableColumn name="Selecione os horários em que você tem disponibilidade para rezar. Pode selecionar mais de um! [Sexta-feira (17/04) - 15h00 às 15h30]" id="21"/>
    <tableColumn name="Selecione os horários em que você tem disponibilidade para rezar. Você pode e DEVE selecionar mais de um! [Sexta-feira (17/04) - 15h30 às 16h00]" id="22"/>
    <tableColumn name="Selecione os horários em que você tem disponibilidade para rezar. Você pode e DEVE selecionar mais de um! [Sexta-feira (17/04) - 16h00 às 16h30]" id="23"/>
    <tableColumn name="Selecione os horários em que você tem disponibilidade para rezar. Pode selecionar mais de um! [Sexta-feira (17/04) - 16h30 às 17h00]" id="24"/>
    <tableColumn name="Selecione os horários em que você tem disponibilidade para rezar. Pode selecionar mais de um! [Sexta-feira (17/04) - 17h00 às 17h30]" id="25"/>
    <tableColumn name="Selecione os horários em que você tem disponibilidade para rezar. Você pode e DEVE selecionar mais de um! [Sexta-feira (17/04) - 17h30 às 18h00]" id="26"/>
    <tableColumn name="Selecione os horários em que você tem disponibilidade para rezar. Você pode e DEVE selecionar mais de um! [Sexta-feira (17/04) - 18h00 às 18h30]" id="27"/>
    <tableColumn name="Selecione os horários em que você tem disponibilidade para rezar. Você pode e DEVE selecionar mais de um! [Sexta-feira (17/04) - 18h30 às 19h00]" id="28"/>
    <tableColumn name="Selecione os horários em que você tem disponibilidade para rezar. Pode selecionar mais de um! [Sexta-feira (17/04) - 19h00 às 19h30]" id="29"/>
    <tableColumn name="Selecione os horários em que você tem disponibilidade para rezar. Selecione mais de um para facilitar o trabalho dos coordenadores! Por favor [Sexta-feira (17/04) - 19h30 às 20h00]" id="30"/>
    <tableColumn name="Selecione os horários em que você tem disponibilidade para rezar. Selecione mais de um para facilitar o trabalho dos coordenadores! Por favor [Sexta-feira (17/04) - 20h00 às 20h30]" id="31"/>
    <tableColumn name="Selecione os horários em que você tem disponibilidade para rezar. Pode selecionar mais de um! [Sexta-feira (17/04) - 20h30 às 21h00]" id="32"/>
    <tableColumn name="Selecione os horários em que você tem disponibilidade para rezar. Pode selecionar mais de um! [Sexta-feira (17/04) - 21h00 às 21h30]" id="33"/>
    <tableColumn name="Selecione os horários em que você tem disponibilidade para rezar. Pode selecionar mais de um! [Sexta-feira (17/04) - 21h30 às 22h00]" id="34"/>
    <tableColumn name="Selecione os horários em que você tem disponibilidade para rezar. Pode selecionar mais de um! [Sexta-feira (17/04) - 22h00 às 22h30]" id="35"/>
    <tableColumn name="Selecione os horários em que você tem disponibilidade para rezar. Você pode e DEVE selecionar mais de um! [Sexta-feira (17/04) - 22h30 às 23h00]" id="36"/>
    <tableColumn name="Selecione os horários em que você tem disponibilidade para rezar. Pode selecionar mais de um! [Sexta-feira (17/04) - 23h00 às 23h30]" id="37"/>
    <tableColumn name="Selecione os horários em que você tem disponibilidade para rezar. Pode selecionar mais de um! [Sexta-feira (17/04) - 23h30 às 00h00]" id="38"/>
    <tableColumn name="Selecione os horários em que você tem disponibilidade para rezar. Pode selecionar mais de um! [Sábado (18/04) - 00h00 às 00h30]" id="39"/>
    <tableColumn name="Selecione os horários em que você tem disponibilidade para rezar. Você pode e DEVE selecionar mais de um! [Sábado (18/04) - 00h30 às 1h00]" id="40"/>
    <tableColumn name="Selecione os horários em que você tem disponibilidade para rezar. Selecione mais de um para facilitar o trabalho dos coordenadores! Por favor [Sábado (18/04) - 1h00 às 1h30]" id="41"/>
    <tableColumn name="Selecione os horários em que você tem disponibilidade para rezar. Selecione mais de um para facilitar o trabalho dos coordenadores! Por favor [Sábado (18/04) - 1h30 às 2h00]" id="42"/>
    <tableColumn name="Selecione os horários em que você tem disponibilidade para rezar. Selecione mais de um para facilitar o trabalho dos coordenadores! Por favor [Sábado (18/04) - 2h00 às 2h30]" id="43"/>
    <tableColumn name="Selecione os horários em que você tem disponibilidade para rezar. Você pode e DEVE selecionar mais de um! [Sábado (18/04) - 2h30 às 3h00]" id="44"/>
    <tableColumn name="Selecione os horários em que você tem disponibilidade para rezar. Pode selecionar mais de um! [Sábado (18/04) - 3h00 às 3h30]" id="45"/>
    <tableColumn name="Selecione os horários em que você tem disponibilidade para rezar. Selecione mais de um para facilitar o trabalho dos coordenadores! Por favor [Sábado (18/04) - 3h30 às 4h00]" id="46"/>
    <tableColumn name="Selecione os horários em que você tem disponibilidade para rezar. Selecione mais de um para facilitar o trabalho dos coordenadores! Por favor [Sábado (18/04) - 4h00 às 4h30]" id="47"/>
    <tableColumn name="Selecione os horários em que você tem disponibilidade para rezar. Selecione mais de um para facilitar o trabalho dos coordenadores! Por favor [Sábado (18/04) - 4h30 às 5h00]" id="48"/>
    <tableColumn name="Selecione os horários em que você tem disponibilidade para rezar. Você pode e DEVE selecionar mais de um! [Sábado (18/04) - 5h00 às 5h30]" id="49"/>
    <tableColumn name="Selecione os horários em que você tem disponibilidade para rezar. Você pode e DEVE selecionar mais de um! [Sábado (18/04) - 5h30 às 6h00]" id="50"/>
    <tableColumn name="Selecione os horários em que você tem disponibilidade para rezar. Selecione mais de um para facilitar o trabalho dos coordenadores! Por favor [Sábado (18/04) - 6h00 às 6h30]" id="51"/>
    <tableColumn name="Selecione os horários em que você tem disponibilidade para rezar. Selecione mais de um para facilitar o trabalho dos coordenadores! Por favor [Sábado (18/04) - 6h30 às 7h00]" id="52"/>
    <tableColumn name="Selecione os horários em que você tem disponibilidade para rezar. Selecione mais de um para facilitar o trabalho dos coordenadores! Por favor [Sábado (18/04) - 3h00 às 3h30]" id="53"/>
    <tableColumn name="Selecione os horários em que você tem disponibilidade para rezar. Selecione mais de um para facilitar o trabalho dos coordenadores! Por favor [Sexta (17/04) - 8h30 às 9h]" id="5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53.13"/>
    <col customWidth="1" min="3" max="3" width="21.88"/>
    <col customWidth="1" min="4" max="4" width="23.88"/>
    <col customWidth="1" min="5" max="5" width="102.75"/>
    <col customWidth="1" min="6" max="52" width="37.63"/>
    <col customWidth="1" min="53" max="6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</row>
    <row r="2" ht="22.5" customHeight="1">
      <c r="A2" s="3">
        <v>46125.69509674769</v>
      </c>
      <c r="B2" s="4" t="s">
        <v>54</v>
      </c>
      <c r="C2" s="4" t="s">
        <v>55</v>
      </c>
      <c r="D2" s="4" t="s">
        <v>56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" t="s">
        <v>57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</row>
    <row r="3" ht="22.5" customHeight="1">
      <c r="A3" s="3">
        <v>46126.42862181713</v>
      </c>
      <c r="B3" s="4" t="s">
        <v>58</v>
      </c>
      <c r="C3" s="4" t="s">
        <v>59</v>
      </c>
      <c r="D3" s="4" t="s">
        <v>60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4" t="s">
        <v>61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ht="22.5" customHeight="1">
      <c r="A4" s="6">
        <v>46126.43698888889</v>
      </c>
      <c r="B4" s="7" t="s">
        <v>62</v>
      </c>
      <c r="C4" s="7" t="s">
        <v>63</v>
      </c>
      <c r="D4" s="7" t="s">
        <v>56</v>
      </c>
      <c r="AG4" s="7" t="s">
        <v>61</v>
      </c>
    </row>
    <row r="5" ht="22.5" customHeight="1">
      <c r="A5" s="6">
        <v>46126.43772465277</v>
      </c>
      <c r="B5" s="7" t="s">
        <v>64</v>
      </c>
      <c r="C5" s="7" t="s">
        <v>65</v>
      </c>
      <c r="D5" s="7" t="s">
        <v>66</v>
      </c>
      <c r="P5" s="7" t="s">
        <v>61</v>
      </c>
      <c r="Q5" s="7" t="s">
        <v>61</v>
      </c>
      <c r="R5" s="7" t="s">
        <v>61</v>
      </c>
      <c r="S5" s="7" t="s">
        <v>61</v>
      </c>
      <c r="T5" s="7" t="s">
        <v>61</v>
      </c>
      <c r="U5" s="7" t="s">
        <v>61</v>
      </c>
      <c r="V5" s="7" t="s">
        <v>61</v>
      </c>
    </row>
    <row r="6" ht="22.5" customHeight="1">
      <c r="A6" s="6">
        <v>46126.44291568287</v>
      </c>
      <c r="B6" s="7" t="s">
        <v>67</v>
      </c>
      <c r="C6" s="7">
        <v>8.3999024067E10</v>
      </c>
      <c r="D6" s="7" t="s">
        <v>68</v>
      </c>
      <c r="K6" s="7" t="s">
        <v>61</v>
      </c>
    </row>
    <row r="7" ht="22.5" customHeight="1">
      <c r="A7" s="6">
        <v>46126.463774895834</v>
      </c>
      <c r="B7" s="7" t="s">
        <v>69</v>
      </c>
      <c r="C7" s="7" t="s">
        <v>70</v>
      </c>
      <c r="D7" s="7" t="s">
        <v>71</v>
      </c>
      <c r="E7" s="7" t="s">
        <v>61</v>
      </c>
      <c r="F7" s="7" t="s">
        <v>61</v>
      </c>
      <c r="G7" s="7" t="s">
        <v>61</v>
      </c>
      <c r="H7" s="7" t="s">
        <v>61</v>
      </c>
    </row>
    <row r="8" ht="22.5" customHeight="1">
      <c r="A8" s="6">
        <v>46126.469736122686</v>
      </c>
      <c r="B8" s="7" t="s">
        <v>72</v>
      </c>
      <c r="C8" s="7">
        <v>8.3986845271E10</v>
      </c>
      <c r="D8" s="7" t="s">
        <v>73</v>
      </c>
      <c r="AE8" s="7" t="s">
        <v>61</v>
      </c>
      <c r="AF8" s="7" t="s">
        <v>61</v>
      </c>
      <c r="AG8" s="7" t="s">
        <v>61</v>
      </c>
      <c r="AH8" s="7" t="s">
        <v>61</v>
      </c>
    </row>
    <row r="9" ht="22.5" customHeight="1">
      <c r="A9" s="6">
        <v>46126.4726121412</v>
      </c>
      <c r="B9" s="7" t="s">
        <v>74</v>
      </c>
      <c r="C9" s="7">
        <v>8.3994184798E10</v>
      </c>
      <c r="D9" s="7" t="s">
        <v>75</v>
      </c>
      <c r="P9" s="7" t="s">
        <v>61</v>
      </c>
      <c r="Q9" s="7" t="s">
        <v>61</v>
      </c>
      <c r="R9" s="7" t="s">
        <v>61</v>
      </c>
      <c r="S9" s="7" t="s">
        <v>61</v>
      </c>
      <c r="T9" s="7" t="s">
        <v>61</v>
      </c>
      <c r="U9" s="7" t="s">
        <v>61</v>
      </c>
      <c r="V9" s="7" t="s">
        <v>61</v>
      </c>
      <c r="W9" s="7" t="s">
        <v>61</v>
      </c>
      <c r="X9" s="7" t="s">
        <v>61</v>
      </c>
      <c r="Y9" s="7" t="s">
        <v>61</v>
      </c>
      <c r="Z9" s="7" t="s">
        <v>61</v>
      </c>
      <c r="AA9" s="7" t="s">
        <v>61</v>
      </c>
      <c r="AB9" s="7" t="s">
        <v>61</v>
      </c>
      <c r="AC9" s="7" t="s">
        <v>61</v>
      </c>
      <c r="AD9" s="7" t="s">
        <v>61</v>
      </c>
      <c r="AE9" s="7" t="s">
        <v>61</v>
      </c>
      <c r="AF9" s="7" t="s">
        <v>61</v>
      </c>
      <c r="AG9" s="7" t="s">
        <v>61</v>
      </c>
      <c r="AH9" s="7" t="s">
        <v>61</v>
      </c>
      <c r="AI9" s="7" t="s">
        <v>61</v>
      </c>
      <c r="AJ9" s="7" t="s">
        <v>61</v>
      </c>
      <c r="AK9" s="7" t="s">
        <v>61</v>
      </c>
      <c r="AL9" s="7" t="s">
        <v>61</v>
      </c>
      <c r="AM9" s="7" t="s">
        <v>61</v>
      </c>
      <c r="AN9" s="7" t="s">
        <v>61</v>
      </c>
      <c r="AO9" s="7" t="s">
        <v>61</v>
      </c>
      <c r="AP9" s="7" t="s">
        <v>61</v>
      </c>
      <c r="AQ9" s="7" t="s">
        <v>61</v>
      </c>
      <c r="AR9" s="7" t="s">
        <v>61</v>
      </c>
      <c r="AS9" s="7" t="s">
        <v>61</v>
      </c>
      <c r="AT9" s="7" t="s">
        <v>61</v>
      </c>
      <c r="AU9" s="7" t="s">
        <v>61</v>
      </c>
      <c r="AV9" s="7" t="s">
        <v>61</v>
      </c>
      <c r="AW9" s="7" t="s">
        <v>61</v>
      </c>
      <c r="AX9" s="7" t="s">
        <v>61</v>
      </c>
      <c r="AY9" s="7" t="s">
        <v>61</v>
      </c>
      <c r="AZ9" s="7" t="s">
        <v>61</v>
      </c>
      <c r="BA9" s="8"/>
      <c r="BB9" s="8"/>
    </row>
    <row r="10" ht="22.5" customHeight="1">
      <c r="A10" s="6">
        <v>46126.5343812963</v>
      </c>
      <c r="B10" s="7" t="s">
        <v>76</v>
      </c>
      <c r="C10" s="9" t="s">
        <v>77</v>
      </c>
      <c r="D10" s="7" t="s">
        <v>78</v>
      </c>
      <c r="E10" s="7" t="s">
        <v>61</v>
      </c>
      <c r="O10" s="7" t="s">
        <v>61</v>
      </c>
      <c r="P10" s="7" t="s">
        <v>61</v>
      </c>
      <c r="Q10" s="7" t="s">
        <v>61</v>
      </c>
      <c r="R10" s="7" t="s">
        <v>61</v>
      </c>
      <c r="AB10" s="7" t="s">
        <v>61</v>
      </c>
      <c r="AC10" s="7" t="s">
        <v>61</v>
      </c>
      <c r="AD10" s="7" t="s">
        <v>61</v>
      </c>
      <c r="AE10" s="7" t="s">
        <v>61</v>
      </c>
      <c r="AF10" s="7" t="s">
        <v>61</v>
      </c>
      <c r="AG10" s="7" t="s">
        <v>61</v>
      </c>
      <c r="AH10" s="7" t="s">
        <v>61</v>
      </c>
      <c r="AW10" s="7" t="s">
        <v>61</v>
      </c>
      <c r="AX10" s="7" t="s">
        <v>61</v>
      </c>
      <c r="AY10" s="7" t="s">
        <v>61</v>
      </c>
      <c r="AZ10" s="7" t="s">
        <v>61</v>
      </c>
      <c r="BA10" s="8"/>
      <c r="BB10" s="8"/>
    </row>
    <row r="11" ht="22.5" customHeight="1">
      <c r="A11" s="6">
        <v>46126.543141435184</v>
      </c>
      <c r="B11" s="7" t="s">
        <v>79</v>
      </c>
      <c r="C11" s="7" t="s">
        <v>80</v>
      </c>
      <c r="D11" s="7" t="s">
        <v>66</v>
      </c>
      <c r="S11" s="7" t="s">
        <v>61</v>
      </c>
      <c r="AL11" s="7" t="s">
        <v>61</v>
      </c>
      <c r="AM11" s="7" t="s">
        <v>61</v>
      </c>
      <c r="AN11" s="7" t="s">
        <v>61</v>
      </c>
      <c r="AO11" s="7" t="s">
        <v>61</v>
      </c>
    </row>
    <row r="12" ht="22.5" customHeight="1">
      <c r="A12" s="6">
        <v>46126.576937245365</v>
      </c>
      <c r="B12" s="7" t="s">
        <v>81</v>
      </c>
      <c r="C12" s="7" t="s">
        <v>82</v>
      </c>
      <c r="D12" s="7" t="s">
        <v>83</v>
      </c>
      <c r="R12" s="7" t="s">
        <v>61</v>
      </c>
    </row>
    <row r="13" ht="22.5" customHeight="1">
      <c r="A13" s="6">
        <v>46126.577683854164</v>
      </c>
      <c r="B13" s="7" t="s">
        <v>84</v>
      </c>
      <c r="C13" s="7" t="s">
        <v>85</v>
      </c>
      <c r="D13" s="7" t="s">
        <v>86</v>
      </c>
      <c r="AH13" s="7" t="s">
        <v>61</v>
      </c>
    </row>
    <row r="14" ht="22.5" customHeight="1">
      <c r="A14" s="6">
        <v>46126.65995265046</v>
      </c>
      <c r="B14" s="7" t="s">
        <v>87</v>
      </c>
      <c r="C14" s="7" t="s">
        <v>88</v>
      </c>
      <c r="D14" s="7" t="s">
        <v>89</v>
      </c>
      <c r="Q14" s="7" t="s">
        <v>61</v>
      </c>
      <c r="Y14" s="7" t="s">
        <v>61</v>
      </c>
    </row>
    <row r="15" ht="22.5" customHeight="1">
      <c r="A15" s="6">
        <v>46126.768692233796</v>
      </c>
      <c r="B15" s="7" t="s">
        <v>90</v>
      </c>
      <c r="C15" s="7" t="s">
        <v>91</v>
      </c>
      <c r="D15" s="7" t="s">
        <v>75</v>
      </c>
      <c r="U15" s="7" t="s">
        <v>61</v>
      </c>
    </row>
    <row r="16" ht="22.5" customHeight="1">
      <c r="A16" s="6">
        <v>46126.829991631945</v>
      </c>
      <c r="B16" s="7" t="s">
        <v>92</v>
      </c>
      <c r="C16" s="7" t="s">
        <v>93</v>
      </c>
      <c r="D16" s="7" t="s">
        <v>56</v>
      </c>
      <c r="AI16" s="7" t="s">
        <v>61</v>
      </c>
      <c r="AW16" s="7" t="s">
        <v>61</v>
      </c>
    </row>
    <row r="17" ht="22.5" customHeight="1">
      <c r="A17" s="6">
        <v>46126.83072716436</v>
      </c>
      <c r="B17" s="7" t="s">
        <v>94</v>
      </c>
      <c r="C17" s="7">
        <v>8.3998650547E10</v>
      </c>
      <c r="D17" s="7" t="s">
        <v>68</v>
      </c>
      <c r="M17" s="7" t="s">
        <v>61</v>
      </c>
      <c r="N17" s="7" t="s">
        <v>61</v>
      </c>
      <c r="O17" s="7" t="s">
        <v>61</v>
      </c>
      <c r="P17" s="7" t="s">
        <v>61</v>
      </c>
      <c r="Q17" s="7" t="s">
        <v>61</v>
      </c>
      <c r="R17" s="7" t="s">
        <v>61</v>
      </c>
      <c r="S17" s="7" t="s">
        <v>61</v>
      </c>
      <c r="T17" s="7" t="s">
        <v>61</v>
      </c>
      <c r="U17" s="7" t="s">
        <v>61</v>
      </c>
      <c r="V17" s="7" t="s">
        <v>61</v>
      </c>
      <c r="W17" s="7" t="s">
        <v>61</v>
      </c>
      <c r="X17" s="7" t="s">
        <v>61</v>
      </c>
      <c r="Y17" s="7" t="s">
        <v>61</v>
      </c>
    </row>
    <row r="18" ht="22.5" customHeight="1">
      <c r="A18" s="6">
        <v>46126.83193972222</v>
      </c>
      <c r="B18" s="7" t="s">
        <v>95</v>
      </c>
      <c r="C18" s="7" t="s">
        <v>96</v>
      </c>
      <c r="D18" s="7" t="s">
        <v>97</v>
      </c>
      <c r="AC18" s="7" t="s">
        <v>61</v>
      </c>
    </row>
    <row r="19" ht="22.5" customHeight="1">
      <c r="A19" s="6">
        <v>46126.845691932875</v>
      </c>
      <c r="B19" s="7" t="s">
        <v>98</v>
      </c>
      <c r="C19" s="7" t="s">
        <v>99</v>
      </c>
      <c r="D19" s="7" t="s">
        <v>100</v>
      </c>
      <c r="AI19" s="7" t="s">
        <v>61</v>
      </c>
      <c r="AJ19" s="7" t="s">
        <v>61</v>
      </c>
      <c r="AK19" s="7" t="s">
        <v>61</v>
      </c>
      <c r="AL19" s="7" t="s">
        <v>61</v>
      </c>
    </row>
    <row r="20" ht="22.5" customHeight="1">
      <c r="A20" s="6">
        <v>46126.894083506944</v>
      </c>
      <c r="B20" s="7" t="s">
        <v>101</v>
      </c>
      <c r="C20" s="7">
        <v>9.96308827E8</v>
      </c>
      <c r="D20" s="7" t="s">
        <v>102</v>
      </c>
      <c r="T20" s="7" t="s">
        <v>61</v>
      </c>
    </row>
    <row r="21" ht="22.5" customHeight="1">
      <c r="A21" s="6">
        <v>46126.98013542824</v>
      </c>
      <c r="B21" s="7" t="s">
        <v>103</v>
      </c>
      <c r="C21" s="7">
        <v>8.3991067925E10</v>
      </c>
      <c r="D21" s="7" t="s">
        <v>104</v>
      </c>
      <c r="N21" s="7" t="s">
        <v>61</v>
      </c>
    </row>
    <row r="22" ht="22.5" customHeight="1">
      <c r="A22" s="6">
        <v>46127.33733329861</v>
      </c>
      <c r="B22" s="7" t="s">
        <v>105</v>
      </c>
      <c r="C22" s="7" t="s">
        <v>106</v>
      </c>
      <c r="D22" s="7" t="s">
        <v>60</v>
      </c>
      <c r="E22" s="7" t="s">
        <v>61</v>
      </c>
      <c r="F22" s="7" t="s">
        <v>61</v>
      </c>
      <c r="G22" s="7" t="s">
        <v>61</v>
      </c>
      <c r="H22" s="7" t="s">
        <v>61</v>
      </c>
      <c r="I22" s="7" t="s">
        <v>61</v>
      </c>
      <c r="J22" s="7" t="s">
        <v>61</v>
      </c>
      <c r="K22" s="7" t="s">
        <v>61</v>
      </c>
      <c r="L22" s="7" t="s">
        <v>61</v>
      </c>
      <c r="M22" s="7" t="s">
        <v>61</v>
      </c>
      <c r="N22" s="7" t="s">
        <v>61</v>
      </c>
      <c r="O22" s="7" t="s">
        <v>61</v>
      </c>
      <c r="P22" s="7" t="s">
        <v>61</v>
      </c>
      <c r="Q22" s="7" t="s">
        <v>61</v>
      </c>
      <c r="R22" s="7" t="s">
        <v>61</v>
      </c>
      <c r="S22" s="7" t="s">
        <v>61</v>
      </c>
      <c r="T22" s="7" t="s">
        <v>61</v>
      </c>
      <c r="U22" s="7" t="s">
        <v>61</v>
      </c>
      <c r="V22" s="7" t="s">
        <v>61</v>
      </c>
      <c r="W22" s="7" t="s">
        <v>61</v>
      </c>
      <c r="X22" s="7" t="s">
        <v>61</v>
      </c>
      <c r="Y22" s="7" t="s">
        <v>61</v>
      </c>
      <c r="Z22" s="7" t="s">
        <v>61</v>
      </c>
      <c r="AA22" s="7" t="s">
        <v>61</v>
      </c>
      <c r="AB22" s="7" t="s">
        <v>61</v>
      </c>
      <c r="AC22" s="7" t="s">
        <v>61</v>
      </c>
      <c r="AD22" s="7" t="s">
        <v>61</v>
      </c>
      <c r="AE22" s="7" t="s">
        <v>61</v>
      </c>
      <c r="AF22" s="7" t="s">
        <v>61</v>
      </c>
      <c r="AG22" s="7" t="s">
        <v>61</v>
      </c>
      <c r="AH22" s="7" t="s">
        <v>61</v>
      </c>
      <c r="AI22" s="7" t="s">
        <v>61</v>
      </c>
      <c r="AJ22" s="7" t="s">
        <v>61</v>
      </c>
      <c r="AK22" s="7" t="s">
        <v>61</v>
      </c>
      <c r="AL22" s="7" t="s">
        <v>61</v>
      </c>
      <c r="AM22" s="7" t="s">
        <v>61</v>
      </c>
      <c r="AN22" s="7" t="s">
        <v>61</v>
      </c>
      <c r="AO22" s="7" t="s">
        <v>61</v>
      </c>
      <c r="AP22" s="7" t="s">
        <v>61</v>
      </c>
      <c r="AQ22" s="7" t="s">
        <v>61</v>
      </c>
      <c r="AR22" s="7" t="s">
        <v>61</v>
      </c>
      <c r="AS22" s="7" t="s">
        <v>61</v>
      </c>
      <c r="AT22" s="7" t="s">
        <v>61</v>
      </c>
      <c r="AU22" s="7" t="s">
        <v>61</v>
      </c>
      <c r="AV22" s="7" t="s">
        <v>61</v>
      </c>
      <c r="AW22" s="7" t="s">
        <v>61</v>
      </c>
      <c r="AX22" s="7" t="s">
        <v>61</v>
      </c>
      <c r="AY22" s="7" t="s">
        <v>61</v>
      </c>
      <c r="AZ22" s="7" t="s">
        <v>61</v>
      </c>
      <c r="BA22" s="8"/>
      <c r="BB22" s="8"/>
    </row>
    <row r="23" ht="22.5" customHeight="1">
      <c r="A23" s="6">
        <v>46127.430611655094</v>
      </c>
      <c r="B23" s="7" t="s">
        <v>107</v>
      </c>
      <c r="C23" s="7">
        <v>8.3988843839E10</v>
      </c>
      <c r="D23" s="7" t="s">
        <v>108</v>
      </c>
      <c r="X23" s="7" t="s">
        <v>61</v>
      </c>
    </row>
    <row r="24" ht="22.5" customHeight="1">
      <c r="A24" s="6">
        <v>46127.4622049537</v>
      </c>
      <c r="B24" s="7" t="s">
        <v>109</v>
      </c>
      <c r="C24" s="7">
        <v>8.399655588E10</v>
      </c>
      <c r="D24" s="7" t="s">
        <v>110</v>
      </c>
      <c r="F24" s="7" t="s">
        <v>61</v>
      </c>
      <c r="AZ24" s="7" t="s">
        <v>61</v>
      </c>
      <c r="BA24" s="8"/>
      <c r="BB24" s="8"/>
    </row>
    <row r="25" ht="22.5" customHeight="1">
      <c r="A25" s="6">
        <v>46127.494289814815</v>
      </c>
      <c r="B25" s="7" t="s">
        <v>111</v>
      </c>
      <c r="C25" s="7" t="s">
        <v>112</v>
      </c>
      <c r="D25" s="7" t="s">
        <v>113</v>
      </c>
      <c r="V25" s="7" t="s">
        <v>61</v>
      </c>
    </row>
    <row r="26" ht="22.5" customHeight="1">
      <c r="A26" s="6">
        <v>46127.495646944444</v>
      </c>
      <c r="B26" s="7" t="s">
        <v>114</v>
      </c>
      <c r="C26" s="7">
        <v>8.3993421516E10</v>
      </c>
      <c r="D26" s="7" t="s">
        <v>113</v>
      </c>
      <c r="AR26" s="7" t="s">
        <v>61</v>
      </c>
    </row>
    <row r="27" ht="22.5" customHeight="1">
      <c r="A27" s="6">
        <v>46127.50454490741</v>
      </c>
      <c r="B27" s="7" t="s">
        <v>115</v>
      </c>
      <c r="C27" s="7">
        <v>8.3999802269E10</v>
      </c>
      <c r="D27" s="7" t="s">
        <v>68</v>
      </c>
      <c r="AN27" s="7" t="s">
        <v>61</v>
      </c>
    </row>
    <row r="28" ht="22.5" customHeight="1">
      <c r="A28" s="6">
        <v>46127.507002743056</v>
      </c>
      <c r="B28" s="7" t="s">
        <v>116</v>
      </c>
      <c r="C28" s="7" t="s">
        <v>117</v>
      </c>
      <c r="D28" s="7" t="s">
        <v>66</v>
      </c>
      <c r="V28" s="7" t="s">
        <v>61</v>
      </c>
    </row>
    <row r="29" ht="22.5" customHeight="1">
      <c r="A29" s="6">
        <v>46127.53373394676</v>
      </c>
      <c r="B29" s="7" t="s">
        <v>118</v>
      </c>
      <c r="C29" s="7" t="s">
        <v>119</v>
      </c>
      <c r="D29" s="7" t="s">
        <v>120</v>
      </c>
      <c r="AX29" s="7" t="s">
        <v>61</v>
      </c>
    </row>
    <row r="30" ht="22.5" customHeight="1">
      <c r="A30" s="6">
        <v>46127.533738240745</v>
      </c>
      <c r="B30" s="7" t="s">
        <v>121</v>
      </c>
      <c r="C30" s="7">
        <v>8.3991601997E10</v>
      </c>
      <c r="D30" s="7" t="s">
        <v>122</v>
      </c>
      <c r="Z30" s="7" t="s">
        <v>61</v>
      </c>
      <c r="AA30" s="7" t="s">
        <v>61</v>
      </c>
      <c r="AB30" s="7" t="s">
        <v>61</v>
      </c>
      <c r="AD30" s="7" t="s">
        <v>61</v>
      </c>
      <c r="AE30" s="7" t="s">
        <v>61</v>
      </c>
      <c r="AJ30" s="7" t="s">
        <v>61</v>
      </c>
      <c r="AO30" s="7" t="s">
        <v>61</v>
      </c>
      <c r="AP30" s="7" t="s">
        <v>61</v>
      </c>
      <c r="AQ30" s="7" t="s">
        <v>61</v>
      </c>
      <c r="AZ30" s="7" t="s">
        <v>61</v>
      </c>
    </row>
    <row r="31" ht="22.5" customHeight="1">
      <c r="A31" s="6">
        <v>46127.534617627316</v>
      </c>
      <c r="B31" s="7" t="s">
        <v>123</v>
      </c>
      <c r="C31" s="7" t="s">
        <v>124</v>
      </c>
      <c r="D31" s="7" t="s">
        <v>102</v>
      </c>
      <c r="Z31" s="7" t="s">
        <v>61</v>
      </c>
      <c r="AA31" s="7" t="s">
        <v>61</v>
      </c>
      <c r="AB31" s="7" t="s">
        <v>61</v>
      </c>
      <c r="AD31" s="7" t="s">
        <v>61</v>
      </c>
      <c r="AE31" s="7" t="s">
        <v>61</v>
      </c>
      <c r="AJ31" s="7" t="s">
        <v>61</v>
      </c>
    </row>
    <row r="32" ht="22.5" customHeight="1">
      <c r="A32" s="6">
        <v>46127.62005695602</v>
      </c>
      <c r="B32" s="7" t="s">
        <v>125</v>
      </c>
      <c r="C32" s="7" t="s">
        <v>126</v>
      </c>
      <c r="D32" s="7" t="s">
        <v>127</v>
      </c>
      <c r="Z32" s="7" t="s">
        <v>61</v>
      </c>
    </row>
    <row r="33" ht="22.5" customHeight="1">
      <c r="A33" s="6">
        <v>46127.78110037037</v>
      </c>
      <c r="B33" s="7" t="s">
        <v>128</v>
      </c>
      <c r="C33" s="7">
        <v>8.3998911881E10</v>
      </c>
      <c r="D33" s="7" t="s">
        <v>129</v>
      </c>
      <c r="G33" s="7" t="s">
        <v>61</v>
      </c>
    </row>
    <row r="34" ht="22.5" customHeight="1">
      <c r="A34" s="6">
        <v>46127.78853805555</v>
      </c>
      <c r="B34" s="7" t="s">
        <v>130</v>
      </c>
      <c r="C34" s="7">
        <v>8.3991263738E10</v>
      </c>
      <c r="D34" s="7" t="s">
        <v>102</v>
      </c>
      <c r="AW34" s="7" t="s">
        <v>61</v>
      </c>
    </row>
    <row r="35" ht="22.5" customHeight="1">
      <c r="A35" s="6">
        <v>46127.88268365741</v>
      </c>
      <c r="B35" s="7" t="s">
        <v>131</v>
      </c>
      <c r="C35" s="7" t="s">
        <v>132</v>
      </c>
      <c r="D35" s="7" t="s">
        <v>133</v>
      </c>
      <c r="AJ35" s="7" t="s">
        <v>61</v>
      </c>
    </row>
    <row r="36" ht="22.5" customHeight="1">
      <c r="A36" s="6">
        <v>46128.47857490741</v>
      </c>
      <c r="B36" s="7" t="s">
        <v>134</v>
      </c>
      <c r="C36" s="7">
        <v>8.3993323353E10</v>
      </c>
      <c r="D36" s="7" t="s">
        <v>135</v>
      </c>
      <c r="AJ36" s="7" t="s">
        <v>61</v>
      </c>
      <c r="AO36" s="7" t="s">
        <v>61</v>
      </c>
    </row>
    <row r="37" ht="22.5" customHeight="1">
      <c r="A37" s="6">
        <v>46128.479319363425</v>
      </c>
      <c r="B37" s="7" t="s">
        <v>136</v>
      </c>
      <c r="C37" s="7" t="s">
        <v>137</v>
      </c>
      <c r="D37" s="7" t="s">
        <v>138</v>
      </c>
      <c r="AD37" s="7" t="s">
        <v>61</v>
      </c>
    </row>
    <row r="38" ht="22.5" customHeight="1">
      <c r="A38" s="6">
        <v>46128.496416863425</v>
      </c>
      <c r="B38" s="7" t="s">
        <v>139</v>
      </c>
      <c r="C38" s="7">
        <v>8.3991907773E10</v>
      </c>
      <c r="D38" s="7" t="s">
        <v>140</v>
      </c>
      <c r="H38" s="7" t="s">
        <v>61</v>
      </c>
      <c r="I38" s="7" t="s">
        <v>61</v>
      </c>
      <c r="J38" s="7" t="s">
        <v>61</v>
      </c>
    </row>
    <row r="39" ht="22.5" customHeight="1">
      <c r="A39" s="6">
        <v>46128.496881099534</v>
      </c>
      <c r="B39" s="7" t="s">
        <v>141</v>
      </c>
      <c r="C39" s="7" t="s">
        <v>142</v>
      </c>
      <c r="D39" s="7" t="s">
        <v>73</v>
      </c>
      <c r="AT39" s="7" t="s">
        <v>61</v>
      </c>
    </row>
    <row r="40" ht="22.5" customHeight="1">
      <c r="A40" s="6">
        <v>46128.499495219905</v>
      </c>
      <c r="B40" s="7" t="s">
        <v>143</v>
      </c>
      <c r="C40" s="7" t="s">
        <v>144</v>
      </c>
      <c r="D40" s="7" t="s">
        <v>60</v>
      </c>
      <c r="I40" s="7" t="s">
        <v>61</v>
      </c>
    </row>
    <row r="41" ht="22.5" customHeight="1">
      <c r="A41" s="6">
        <v>46128.51533834491</v>
      </c>
      <c r="B41" s="7" t="s">
        <v>145</v>
      </c>
      <c r="C41" s="7">
        <v>8.3999586976E10</v>
      </c>
      <c r="D41" s="7" t="s">
        <v>146</v>
      </c>
      <c r="AE41" s="7" t="s">
        <v>61</v>
      </c>
    </row>
    <row r="42" ht="22.5" customHeight="1">
      <c r="A42" s="6">
        <v>46128.52869706019</v>
      </c>
      <c r="B42" s="7" t="s">
        <v>147</v>
      </c>
      <c r="C42" s="7" t="s">
        <v>148</v>
      </c>
      <c r="D42" s="7" t="s">
        <v>60</v>
      </c>
      <c r="AV42" s="7" t="s">
        <v>61</v>
      </c>
    </row>
    <row r="43" ht="22.5" customHeight="1">
      <c r="A43" s="6">
        <v>46128.56427358797</v>
      </c>
      <c r="B43" s="7" t="s">
        <v>149</v>
      </c>
      <c r="C43" s="7">
        <v>8.3991182058E10</v>
      </c>
      <c r="D43" s="7" t="s">
        <v>146</v>
      </c>
      <c r="AS43" s="7" t="s">
        <v>61</v>
      </c>
      <c r="BA43" s="7" t="s">
        <v>61</v>
      </c>
      <c r="BB43" s="8"/>
    </row>
    <row r="44" ht="22.5" customHeight="1">
      <c r="A44" s="6">
        <v>46128.58146025463</v>
      </c>
      <c r="B44" s="7" t="s">
        <v>150</v>
      </c>
      <c r="C44" s="7">
        <v>6.1982584736E10</v>
      </c>
      <c r="D44" s="7" t="s">
        <v>151</v>
      </c>
      <c r="J44" s="7" t="s">
        <v>61</v>
      </c>
      <c r="AY44" s="7" t="s">
        <v>61</v>
      </c>
      <c r="AZ44" s="7" t="s">
        <v>61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13"/>
    <col customWidth="1" min="2" max="2" width="22.38"/>
    <col customWidth="1" min="3" max="3" width="43.63"/>
    <col customWidth="1" min="4" max="4" width="198.0"/>
  </cols>
  <sheetData>
    <row r="1">
      <c r="A1" s="10" t="s">
        <v>152</v>
      </c>
      <c r="B1" s="10" t="s">
        <v>153</v>
      </c>
      <c r="C1" s="10" t="s">
        <v>154</v>
      </c>
      <c r="D1" s="10" t="s">
        <v>155</v>
      </c>
    </row>
    <row r="2">
      <c r="A2" s="11" t="str">
        <f>IFERROR(__xludf.DUMMYFUNCTION("ARRAYFORMULA(IFERROR(REGEXEXTRACT(TRANSPOSE('Respostas ao formulário 1'!E1:AZ1), ""\[(.+)\]""), TRANSPOSE('Respostas ao formulário 1'!E1:AZ1)))"),"Sexta-feira (17/04) - 7h00 às 7h30")</f>
        <v>Sexta-feira (17/04) - 7h00 às 7h30</v>
      </c>
      <c r="B2" s="11">
        <f>IFERROR(__xludf.DUMMYFUNCTION("MAP(SEQUENCE(48), LAMBDA(idx, LET(lista_bruta, IFERROR(FILTER('Respostas ao formulário 1'!$B$2:$B1000, INDEX('Respostas ao formulário 1'!$E$2:$AZ1000, 0, idx) &lt;&gt; """"), ), designados, ARRAYFORMULA(TRIM($C$2:$C$49)), lista_limpa, IFERROR(FILTER(lista_bruta"&amp;", ISNA(MATCH(TRIM(lista_bruta), designados, 0))), ), IF(COUNTA(lista_limpa)=0, 0, COUNTA(lista_limpa)))))
"),1.0)</f>
        <v>1</v>
      </c>
      <c r="C2" s="10" t="s">
        <v>156</v>
      </c>
      <c r="D2" s="12" t="str">
        <f>IFERROR(__xludf.DUMMYFUNCTION("MAP(SEQUENCE(48), LAMBDA(idx, LET(lista_bruta, IFERROR(FILTER('Respostas ao formulário 1'!$B$2:$B1000, INDEX('Respostas ao formulário 1'!$E$2:$AZ1000, 0, idx) &lt;&gt; """"), ), designados, ARRAYFORMULA(TRIM($C$2:$C$49)), lista_limpa, IFERROR(FILTER(lista_bruta"&amp;", ISNA(MATCH(TRIM(lista_bruta), designados, 0))), ), TEXTJOIN("", "", TRUE, lista_limpa))))
"),"Lucas Farias de Medeiros")</f>
        <v>Lucas Farias de Medeiros</v>
      </c>
    </row>
    <row r="3">
      <c r="A3" s="11" t="str">
        <f>IFERROR(__xludf.DUMMYFUNCTION("""COMPUTED_VALUE"""),"Sexta-feira (17/04) - 7h30 às 8h00")</f>
        <v>Sexta-feira (17/04) - 7h30 às 8h00</v>
      </c>
      <c r="B3" s="11">
        <f>IFERROR(__xludf.DUMMYFUNCTION("""COMPUTED_VALUE"""),1.0)</f>
        <v>1</v>
      </c>
      <c r="C3" s="10" t="s">
        <v>109</v>
      </c>
      <c r="D3" s="12" t="str">
        <f>IFERROR(__xludf.DUMMYFUNCTION("""COMPUTED_VALUE"""),"Lucas Farias de Medeiros")</f>
        <v>Lucas Farias de Medeiros</v>
      </c>
    </row>
    <row r="4">
      <c r="A4" s="11" t="str">
        <f>IFERROR(__xludf.DUMMYFUNCTION("""COMPUTED_VALUE"""),"Sexta-feira (17/04) - 8h00 às 8h30")</f>
        <v>Sexta-feira (17/04) - 8h00 às 8h30</v>
      </c>
      <c r="B4" s="11">
        <f>IFERROR(__xludf.DUMMYFUNCTION("""COMPUTED_VALUE"""),1.0)</f>
        <v>1</v>
      </c>
      <c r="C4" s="10" t="s">
        <v>128</v>
      </c>
      <c r="D4" s="12" t="str">
        <f>IFERROR(__xludf.DUMMYFUNCTION("""COMPUTED_VALUE"""),"Lucas Farias de Medeiros")</f>
        <v>Lucas Farias de Medeiros</v>
      </c>
    </row>
    <row r="5">
      <c r="A5" s="11" t="str">
        <f>IFERROR(__xludf.DUMMYFUNCTION("""COMPUTED_VALUE"""),"Sexta-feira (17/04) - 8h30 às 9h00")</f>
        <v>Sexta-feira (17/04) - 8h30 às 9h00</v>
      </c>
      <c r="B5" s="11">
        <f>IFERROR(__xludf.DUMMYFUNCTION("""COMPUTED_VALUE"""),1.0)</f>
        <v>1</v>
      </c>
      <c r="C5" s="10"/>
      <c r="D5" s="12" t="str">
        <f>IFERROR(__xludf.DUMMYFUNCTION("""COMPUTED_VALUE"""),"Lucas Farias de Medeiros")</f>
        <v>Lucas Farias de Medeiros</v>
      </c>
    </row>
    <row r="6">
      <c r="A6" s="11" t="str">
        <f>IFERROR(__xludf.DUMMYFUNCTION("""COMPUTED_VALUE"""),"Sexta-feira (17/04) - 9h00 às 9h30")</f>
        <v>Sexta-feira (17/04) - 9h00 às 9h30</v>
      </c>
      <c r="B6" s="11">
        <f>IFERROR(__xludf.DUMMYFUNCTION("""COMPUTED_VALUE"""),1.0)</f>
        <v>1</v>
      </c>
      <c r="C6" s="10" t="s">
        <v>143</v>
      </c>
      <c r="D6" s="12" t="str">
        <f>IFERROR(__xludf.DUMMYFUNCTION("""COMPUTED_VALUE"""),"Lucas Farias de Medeiros")</f>
        <v>Lucas Farias de Medeiros</v>
      </c>
    </row>
    <row r="7">
      <c r="A7" s="11" t="str">
        <f>IFERROR(__xludf.DUMMYFUNCTION("""COMPUTED_VALUE"""),"Sexta-feira (17/04) - 9h30 às 10h00")</f>
        <v>Sexta-feira (17/04) - 9h30 às 10h00</v>
      </c>
      <c r="B7" s="11">
        <f>IFERROR(__xludf.DUMMYFUNCTION("""COMPUTED_VALUE"""),1.0)</f>
        <v>1</v>
      </c>
      <c r="C7" s="10"/>
      <c r="D7" s="12" t="str">
        <f>IFERROR(__xludf.DUMMYFUNCTION("""COMPUTED_VALUE"""),"Lucas Farias de Medeiros")</f>
        <v>Lucas Farias de Medeiros</v>
      </c>
    </row>
    <row r="8">
      <c r="A8" s="11" t="str">
        <f>IFERROR(__xludf.DUMMYFUNCTION("""COMPUTED_VALUE"""),"Sexta-feira (17/04) - 10h00 às 10h30")</f>
        <v>Sexta-feira (17/04) - 10h00 às 10h30</v>
      </c>
      <c r="B8" s="11">
        <f>IFERROR(__xludf.DUMMYFUNCTION("""COMPUTED_VALUE"""),1.0)</f>
        <v>1</v>
      </c>
      <c r="C8" s="10" t="s">
        <v>67</v>
      </c>
      <c r="D8" s="12" t="str">
        <f>IFERROR(__xludf.DUMMYFUNCTION("""COMPUTED_VALUE"""),"Lucas Farias de Medeiros")</f>
        <v>Lucas Farias de Medeiros</v>
      </c>
    </row>
    <row r="9">
      <c r="A9" s="11" t="str">
        <f>IFERROR(__xludf.DUMMYFUNCTION("""COMPUTED_VALUE"""),"Sexta-feira (17/04) - 10h30 às 11h00")</f>
        <v>Sexta-feira (17/04) - 10h30 às 11h00</v>
      </c>
      <c r="B9" s="11">
        <f>IFERROR(__xludf.DUMMYFUNCTION("""COMPUTED_VALUE"""),1.0)</f>
        <v>1</v>
      </c>
      <c r="C9" s="10" t="s">
        <v>157</v>
      </c>
      <c r="D9" s="12" t="str">
        <f>IFERROR(__xludf.DUMMYFUNCTION("""COMPUTED_VALUE"""),"Lucas Farias de Medeiros")</f>
        <v>Lucas Farias de Medeiros</v>
      </c>
    </row>
    <row r="10">
      <c r="A10" s="11" t="str">
        <f>IFERROR(__xludf.DUMMYFUNCTION("""COMPUTED_VALUE"""),"Sexta-feira (17/04) - 11h00 às 11h30")</f>
        <v>Sexta-feira (17/04) - 11h00 às 11h30</v>
      </c>
      <c r="B10" s="11">
        <f>IFERROR(__xludf.DUMMYFUNCTION("""COMPUTED_VALUE"""),1.0)</f>
        <v>1</v>
      </c>
      <c r="C10" s="10" t="s">
        <v>158</v>
      </c>
      <c r="D10" s="12" t="str">
        <f>IFERROR(__xludf.DUMMYFUNCTION("""COMPUTED_VALUE"""),"Lucas Farias de Medeiros")</f>
        <v>Lucas Farias de Medeiros</v>
      </c>
    </row>
    <row r="11">
      <c r="A11" s="11" t="str">
        <f>IFERROR(__xludf.DUMMYFUNCTION("""COMPUTED_VALUE"""),"Sexta-feira (17/04) - 11h30 às 12h00")</f>
        <v>Sexta-feira (17/04) - 11h30 às 12h00</v>
      </c>
      <c r="B11" s="11">
        <f>IFERROR(__xludf.DUMMYFUNCTION("""COMPUTED_VALUE"""),1.0)</f>
        <v>1</v>
      </c>
      <c r="C11" s="10" t="s">
        <v>103</v>
      </c>
      <c r="D11" s="12" t="str">
        <f>IFERROR(__xludf.DUMMYFUNCTION("""COMPUTED_VALUE"""),"Lucas Farias de Medeiros")</f>
        <v>Lucas Farias de Medeiros</v>
      </c>
    </row>
    <row r="12">
      <c r="A12" s="11" t="str">
        <f>IFERROR(__xludf.DUMMYFUNCTION("""COMPUTED_VALUE"""),"Sexta-feira (17/04) - 12h00 às 12h30")</f>
        <v>Sexta-feira (17/04) - 12h00 às 12h30</v>
      </c>
      <c r="B12" s="11">
        <f>IFERROR(__xludf.DUMMYFUNCTION("""COMPUTED_VALUE"""),1.0)</f>
        <v>1</v>
      </c>
      <c r="C12" s="10" t="s">
        <v>76</v>
      </c>
      <c r="D12" s="12" t="str">
        <f>IFERROR(__xludf.DUMMYFUNCTION("""COMPUTED_VALUE"""),"Lucas Farias de Medeiros")</f>
        <v>Lucas Farias de Medeiros</v>
      </c>
    </row>
    <row r="13">
      <c r="A13" s="11" t="str">
        <f>IFERROR(__xludf.DUMMYFUNCTION("""COMPUTED_VALUE"""),"Sexta-feira (17/04) - 12h30 às 13h00")</f>
        <v>Sexta-feira (17/04) - 12h30 às 13h00</v>
      </c>
      <c r="B13" s="11">
        <f>IFERROR(__xludf.DUMMYFUNCTION("""COMPUTED_VALUE"""),1.0)</f>
        <v>1</v>
      </c>
      <c r="C13" s="10"/>
      <c r="D13" s="12" t="str">
        <f>IFERROR(__xludf.DUMMYFUNCTION("""COMPUTED_VALUE"""),"Lucas Farias de Medeiros")</f>
        <v>Lucas Farias de Medeiros</v>
      </c>
    </row>
    <row r="14">
      <c r="A14" s="11" t="str">
        <f>IFERROR(__xludf.DUMMYFUNCTION("""COMPUTED_VALUE"""),"Sexta-feira (17/04) - 13h00 às 13h30")</f>
        <v>Sexta-feira (17/04) - 13h00 às 13h30</v>
      </c>
      <c r="B14" s="11">
        <f>IFERROR(__xludf.DUMMYFUNCTION("""COMPUTED_VALUE"""),1.0)</f>
        <v>1</v>
      </c>
      <c r="C14" s="10" t="s">
        <v>159</v>
      </c>
      <c r="D14" s="12" t="str">
        <f>IFERROR(__xludf.DUMMYFUNCTION("""COMPUTED_VALUE"""),"Lucas Farias de Medeiros")</f>
        <v>Lucas Farias de Medeiros</v>
      </c>
    </row>
    <row r="15">
      <c r="A15" s="11" t="str">
        <f>IFERROR(__xludf.DUMMYFUNCTION("""COMPUTED_VALUE"""),"Sexta-feira (17/04) - 13h30 às 14h00")</f>
        <v>Sexta-feira (17/04) - 13h30 às 14h00</v>
      </c>
      <c r="B15" s="11">
        <f>IFERROR(__xludf.DUMMYFUNCTION("""COMPUTED_VALUE"""),1.0)</f>
        <v>1</v>
      </c>
      <c r="C15" s="10" t="s">
        <v>81</v>
      </c>
      <c r="D15" s="12" t="str">
        <f>IFERROR(__xludf.DUMMYFUNCTION("""COMPUTED_VALUE"""),"Lucas Farias de Medeiros")</f>
        <v>Lucas Farias de Medeiros</v>
      </c>
    </row>
    <row r="16">
      <c r="A16" s="11" t="str">
        <f>IFERROR(__xludf.DUMMYFUNCTION("""COMPUTED_VALUE"""),"Sexta-feira (17/04) - 14h00 às 14h30")</f>
        <v>Sexta-feira (17/04) - 14h00 às 14h30</v>
      </c>
      <c r="B16" s="11">
        <f>IFERROR(__xludf.DUMMYFUNCTION("""COMPUTED_VALUE"""),1.0)</f>
        <v>1</v>
      </c>
      <c r="C16" s="10" t="s">
        <v>64</v>
      </c>
      <c r="D16" s="12" t="str">
        <f>IFERROR(__xludf.DUMMYFUNCTION("""COMPUTED_VALUE"""),"Lucas Farias de Medeiros")</f>
        <v>Lucas Farias de Medeiros</v>
      </c>
    </row>
    <row r="17">
      <c r="A17" s="11" t="str">
        <f>IFERROR(__xludf.DUMMYFUNCTION("""COMPUTED_VALUE"""),"Sexta-feira (17/04) - 14h30 às 15h00")</f>
        <v>Sexta-feira (17/04) - 14h30 às 15h00</v>
      </c>
      <c r="B17" s="11">
        <f>IFERROR(__xludf.DUMMYFUNCTION("""COMPUTED_VALUE"""),1.0)</f>
        <v>1</v>
      </c>
      <c r="C17" s="10" t="s">
        <v>101</v>
      </c>
      <c r="D17" s="12" t="str">
        <f>IFERROR(__xludf.DUMMYFUNCTION("""COMPUTED_VALUE"""),"Lucas Farias de Medeiros")</f>
        <v>Lucas Farias de Medeiros</v>
      </c>
    </row>
    <row r="18">
      <c r="A18" s="11" t="str">
        <f>IFERROR(__xludf.DUMMYFUNCTION("""COMPUTED_VALUE"""),"Sexta-feira (17/04) - 15h00 às 15h30")</f>
        <v>Sexta-feira (17/04) - 15h00 às 15h30</v>
      </c>
      <c r="B18" s="11">
        <f>IFERROR(__xludf.DUMMYFUNCTION("""COMPUTED_VALUE"""),1.0)</f>
        <v>1</v>
      </c>
      <c r="C18" s="10" t="s">
        <v>90</v>
      </c>
      <c r="D18" s="12" t="str">
        <f>IFERROR(__xludf.DUMMYFUNCTION("""COMPUTED_VALUE"""),"Lucas Farias de Medeiros")</f>
        <v>Lucas Farias de Medeiros</v>
      </c>
    </row>
    <row r="19">
      <c r="A19" s="11" t="str">
        <f>IFERROR(__xludf.DUMMYFUNCTION("""COMPUTED_VALUE"""),"Sexta-feira (17/04) - 15h30 às 16h00")</f>
        <v>Sexta-feira (17/04) - 15h30 às 16h00</v>
      </c>
      <c r="B19" s="11">
        <f>IFERROR(__xludf.DUMMYFUNCTION("""COMPUTED_VALUE"""),1.0)</f>
        <v>1</v>
      </c>
      <c r="C19" s="10" t="s">
        <v>160</v>
      </c>
      <c r="D19" s="12" t="str">
        <f>IFERROR(__xludf.DUMMYFUNCTION("""COMPUTED_VALUE"""),"Lucas Farias de Medeiros")</f>
        <v>Lucas Farias de Medeiros</v>
      </c>
    </row>
    <row r="20">
      <c r="A20" s="11" t="str">
        <f>IFERROR(__xludf.DUMMYFUNCTION("""COMPUTED_VALUE"""),"Sexta-feira (17/04) - 16h00 às 16h30")</f>
        <v>Sexta-feira (17/04) - 16h00 às 16h30</v>
      </c>
      <c r="B20" s="11">
        <f>IFERROR(__xludf.DUMMYFUNCTION("""COMPUTED_VALUE"""),1.0)</f>
        <v>1</v>
      </c>
      <c r="C20" s="10" t="s">
        <v>116</v>
      </c>
      <c r="D20" s="12" t="str">
        <f>IFERROR(__xludf.DUMMYFUNCTION("""COMPUTED_VALUE"""),"Lucas Farias de Medeiros")</f>
        <v>Lucas Farias de Medeiros</v>
      </c>
    </row>
    <row r="21">
      <c r="A21" s="11" t="str">
        <f>IFERROR(__xludf.DUMMYFUNCTION("""COMPUTED_VALUE"""),"Sexta-feira (17/04) - 16h30 às 17h00")</f>
        <v>Sexta-feira (17/04) - 16h30 às 17h00</v>
      </c>
      <c r="B21" s="11">
        <f>IFERROR(__xludf.DUMMYFUNCTION("""COMPUTED_VALUE"""),1.0)</f>
        <v>1</v>
      </c>
      <c r="C21" s="10" t="s">
        <v>107</v>
      </c>
      <c r="D21" s="12" t="str">
        <f>IFERROR(__xludf.DUMMYFUNCTION("""COMPUTED_VALUE"""),"Lucas Farias de Medeiros")</f>
        <v>Lucas Farias de Medeiros</v>
      </c>
    </row>
    <row r="22">
      <c r="A22" s="11" t="str">
        <f>IFERROR(__xludf.DUMMYFUNCTION("""COMPUTED_VALUE"""),"Sexta-feira (17/04) - 17h00 às 17h30")</f>
        <v>Sexta-feira (17/04) - 17h00 às 17h30</v>
      </c>
      <c r="B22" s="11">
        <f>IFERROR(__xludf.DUMMYFUNCTION("""COMPUTED_VALUE"""),1.0)</f>
        <v>1</v>
      </c>
      <c r="C22" s="10" t="s">
        <v>161</v>
      </c>
      <c r="D22" s="12" t="str">
        <f>IFERROR(__xludf.DUMMYFUNCTION("""COMPUTED_VALUE"""),"Lucas Farias de Medeiros")</f>
        <v>Lucas Farias de Medeiros</v>
      </c>
    </row>
    <row r="23">
      <c r="A23" s="11" t="str">
        <f>IFERROR(__xludf.DUMMYFUNCTION("""COMPUTED_VALUE"""),"Sexta-feira (17/04) - 17h30 às 18h00")</f>
        <v>Sexta-feira (17/04) - 17h30 às 18h00</v>
      </c>
      <c r="B23" s="11">
        <f>IFERROR(__xludf.DUMMYFUNCTION("""COMPUTED_VALUE"""),1.0)</f>
        <v>1</v>
      </c>
      <c r="C23" s="10" t="s">
        <v>125</v>
      </c>
      <c r="D23" s="12" t="str">
        <f>IFERROR(__xludf.DUMMYFUNCTION("""COMPUTED_VALUE"""),"Lucas Farias de Medeiros")</f>
        <v>Lucas Farias de Medeiros</v>
      </c>
    </row>
    <row r="24">
      <c r="A24" s="11" t="str">
        <f>IFERROR(__xludf.DUMMYFUNCTION("""COMPUTED_VALUE"""),"Sexta-feira (17/04) - 18h00 às 18h30")</f>
        <v>Sexta-feira (17/04) - 18h00 às 18h30</v>
      </c>
      <c r="B24" s="11">
        <f>IFERROR(__xludf.DUMMYFUNCTION("""COMPUTED_VALUE"""),1.0)</f>
        <v>1</v>
      </c>
      <c r="C24" s="10" t="s">
        <v>123</v>
      </c>
      <c r="D24" s="12" t="str">
        <f>IFERROR(__xludf.DUMMYFUNCTION("""COMPUTED_VALUE"""),"Lucas Farias de Medeiros")</f>
        <v>Lucas Farias de Medeiros</v>
      </c>
    </row>
    <row r="25">
      <c r="A25" s="11" t="str">
        <f>IFERROR(__xludf.DUMMYFUNCTION("""COMPUTED_VALUE"""),"Sexta-feira (17/04) - 18h30 às 19h00")</f>
        <v>Sexta-feira (17/04) - 18h30 às 19h00</v>
      </c>
      <c r="B25" s="11">
        <f>IFERROR(__xludf.DUMMYFUNCTION("""COMPUTED_VALUE"""),1.0)</f>
        <v>1</v>
      </c>
      <c r="C25" s="10" t="s">
        <v>121</v>
      </c>
      <c r="D25" s="12" t="str">
        <f>IFERROR(__xludf.DUMMYFUNCTION("""COMPUTED_VALUE"""),"Lucas Farias de Medeiros")</f>
        <v>Lucas Farias de Medeiros</v>
      </c>
    </row>
    <row r="26">
      <c r="A26" s="11" t="str">
        <f>IFERROR(__xludf.DUMMYFUNCTION("""COMPUTED_VALUE"""),"Sexta-feira (17/04) - 19h00 às 19h30")</f>
        <v>Sexta-feira (17/04) - 19h00 às 19h30</v>
      </c>
      <c r="B26" s="11">
        <f>IFERROR(__xludf.DUMMYFUNCTION("""COMPUTED_VALUE"""),1.0)</f>
        <v>1</v>
      </c>
      <c r="C26" s="10" t="s">
        <v>162</v>
      </c>
      <c r="D26" s="12" t="str">
        <f>IFERROR(__xludf.DUMMYFUNCTION("""COMPUTED_VALUE"""),"Lucas Farias de Medeiros")</f>
        <v>Lucas Farias de Medeiros</v>
      </c>
    </row>
    <row r="27">
      <c r="A27" s="11" t="str">
        <f>IFERROR(__xludf.DUMMYFUNCTION("""COMPUTED_VALUE"""),"Sexta-feira (17/04) - 19h30 às 20h00")</f>
        <v>Sexta-feira (17/04) - 19h30 às 20h00</v>
      </c>
      <c r="B27" s="11">
        <f>IFERROR(__xludf.DUMMYFUNCTION("""COMPUTED_VALUE"""),1.0)</f>
        <v>1</v>
      </c>
      <c r="C27" s="10" t="s">
        <v>136</v>
      </c>
      <c r="D27" s="12" t="str">
        <f>IFERROR(__xludf.DUMMYFUNCTION("""COMPUTED_VALUE"""),"Lucas Farias de Medeiros")</f>
        <v>Lucas Farias de Medeiros</v>
      </c>
    </row>
    <row r="28">
      <c r="A28" s="11" t="str">
        <f>IFERROR(__xludf.DUMMYFUNCTION("""COMPUTED_VALUE"""),"Sexta-feira (17/04) - 20h00 às 20h30")</f>
        <v>Sexta-feira (17/04) - 20h00 às 20h30</v>
      </c>
      <c r="B28" s="11">
        <f>IFERROR(__xludf.DUMMYFUNCTION("""COMPUTED_VALUE"""),1.0)</f>
        <v>1</v>
      </c>
      <c r="C28" s="13" t="s">
        <v>145</v>
      </c>
      <c r="D28" s="12" t="str">
        <f>IFERROR(__xludf.DUMMYFUNCTION("""COMPUTED_VALUE"""),"Lucas Farias de Medeiros")</f>
        <v>Lucas Farias de Medeiros</v>
      </c>
    </row>
    <row r="29">
      <c r="A29" s="11" t="str">
        <f>IFERROR(__xludf.DUMMYFUNCTION("""COMPUTED_VALUE"""),"Sexta-feira (17/04) - 20h30 às 21h00")</f>
        <v>Sexta-feira (17/04) - 20h30 às 21h00</v>
      </c>
      <c r="B29" s="11">
        <f>IFERROR(__xludf.DUMMYFUNCTION("""COMPUTED_VALUE"""),1.0)</f>
        <v>1</v>
      </c>
      <c r="C29" s="10" t="s">
        <v>72</v>
      </c>
      <c r="D29" s="12" t="str">
        <f>IFERROR(__xludf.DUMMYFUNCTION("""COMPUTED_VALUE"""),"Lucas Farias de Medeiros")</f>
        <v>Lucas Farias de Medeiros</v>
      </c>
    </row>
    <row r="30">
      <c r="A30" s="11" t="str">
        <f>IFERROR(__xludf.DUMMYFUNCTION("""COMPUTED_VALUE"""),"Sexta-feira (17/04) - 21h00 às 21h30")</f>
        <v>Sexta-feira (17/04) - 21h00 às 21h30</v>
      </c>
      <c r="B30" s="11">
        <f>IFERROR(__xludf.DUMMYFUNCTION("""COMPUTED_VALUE"""),1.0)</f>
        <v>1</v>
      </c>
      <c r="C30" s="10" t="s">
        <v>62</v>
      </c>
      <c r="D30" s="12" t="str">
        <f>IFERROR(__xludf.DUMMYFUNCTION("""COMPUTED_VALUE"""),"Lucas Farias de Medeiros")</f>
        <v>Lucas Farias de Medeiros</v>
      </c>
    </row>
    <row r="31">
      <c r="A31" s="11" t="str">
        <f>IFERROR(__xludf.DUMMYFUNCTION("""COMPUTED_VALUE"""),"Sexta-feira (17/04) - 21h30 às 22h00")</f>
        <v>Sexta-feira (17/04) - 21h30 às 22h00</v>
      </c>
      <c r="B31" s="11">
        <f>IFERROR(__xludf.DUMMYFUNCTION("""COMPUTED_VALUE"""),1.0)</f>
        <v>1</v>
      </c>
      <c r="C31" s="10" t="s">
        <v>163</v>
      </c>
      <c r="D31" s="12" t="str">
        <f>IFERROR(__xludf.DUMMYFUNCTION("""COMPUTED_VALUE"""),"Lucas Farias de Medeiros")</f>
        <v>Lucas Farias de Medeiros</v>
      </c>
    </row>
    <row r="32">
      <c r="A32" s="11" t="str">
        <f>IFERROR(__xludf.DUMMYFUNCTION("""COMPUTED_VALUE"""),"Sexta-feira (17/04) - 22h00 às 22h30")</f>
        <v>Sexta-feira (17/04) - 22h00 às 22h30</v>
      </c>
      <c r="B32" s="11">
        <f>IFERROR(__xludf.DUMMYFUNCTION("""COMPUTED_VALUE"""),1.0)</f>
        <v>1</v>
      </c>
      <c r="C32" s="10" t="s">
        <v>164</v>
      </c>
      <c r="D32" s="12" t="str">
        <f>IFERROR(__xludf.DUMMYFUNCTION("""COMPUTED_VALUE"""),"Lucas Farias de Medeiros")</f>
        <v>Lucas Farias de Medeiros</v>
      </c>
    </row>
    <row r="33">
      <c r="A33" s="11" t="str">
        <f>IFERROR(__xludf.DUMMYFUNCTION("""COMPUTED_VALUE"""),"Sexta-feira (17/04) - 22h30 às 23h00")</f>
        <v>Sexta-feira (17/04) - 22h30 às 23h00</v>
      </c>
      <c r="B33" s="11">
        <f>IFERROR(__xludf.DUMMYFUNCTION("""COMPUTED_VALUE"""),1.0)</f>
        <v>1</v>
      </c>
      <c r="C33" s="10" t="s">
        <v>131</v>
      </c>
      <c r="D33" s="12" t="str">
        <f>IFERROR(__xludf.DUMMYFUNCTION("""COMPUTED_VALUE"""),"Lucas Farias de Medeiros")</f>
        <v>Lucas Farias de Medeiros</v>
      </c>
    </row>
    <row r="34">
      <c r="A34" s="11" t="str">
        <f>IFERROR(__xludf.DUMMYFUNCTION("""COMPUTED_VALUE"""),"Sexta-feira (17/04) - 23h00 às 23h30")</f>
        <v>Sexta-feira (17/04) - 23h00 às 23h30</v>
      </c>
      <c r="B34" s="11">
        <f>IFERROR(__xludf.DUMMYFUNCTION("""COMPUTED_VALUE"""),1.0)</f>
        <v>1</v>
      </c>
      <c r="C34" s="10" t="s">
        <v>98</v>
      </c>
      <c r="D34" s="12" t="str">
        <f>IFERROR(__xludf.DUMMYFUNCTION("""COMPUTED_VALUE"""),"Lucas Farias de Medeiros")</f>
        <v>Lucas Farias de Medeiros</v>
      </c>
    </row>
    <row r="35">
      <c r="A35" s="11" t="str">
        <f>IFERROR(__xludf.DUMMYFUNCTION("""COMPUTED_VALUE"""),"Sexta-feira (17/04) - 23h30 às 00h00")</f>
        <v>Sexta-feira (17/04) - 23h30 às 00h00</v>
      </c>
      <c r="B35" s="11">
        <f>IFERROR(__xludf.DUMMYFUNCTION("""COMPUTED_VALUE"""),1.0)</f>
        <v>1</v>
      </c>
      <c r="C35" s="10" t="s">
        <v>54</v>
      </c>
      <c r="D35" s="12" t="str">
        <f>IFERROR(__xludf.DUMMYFUNCTION("""COMPUTED_VALUE"""),"Lucas Farias de Medeiros")</f>
        <v>Lucas Farias de Medeiros</v>
      </c>
    </row>
    <row r="36">
      <c r="A36" s="11" t="str">
        <f>IFERROR(__xludf.DUMMYFUNCTION("""COMPUTED_VALUE"""),"Sábado (18/04) - 00h00 às 00h30")</f>
        <v>Sábado (18/04) - 00h00 às 00h30</v>
      </c>
      <c r="B36" s="11">
        <f>IFERROR(__xludf.DUMMYFUNCTION("""COMPUTED_VALUE"""),1.0)</f>
        <v>1</v>
      </c>
      <c r="C36" s="10" t="s">
        <v>79</v>
      </c>
      <c r="D36" s="12" t="str">
        <f>IFERROR(__xludf.DUMMYFUNCTION("""COMPUTED_VALUE"""),"Lucas Farias de Medeiros")</f>
        <v>Lucas Farias de Medeiros</v>
      </c>
    </row>
    <row r="37">
      <c r="A37" s="11" t="str">
        <f>IFERROR(__xludf.DUMMYFUNCTION("""COMPUTED_VALUE"""),"Sábado (18/04) - 00h30 às 1h00")</f>
        <v>Sábado (18/04) - 00h30 às 1h00</v>
      </c>
      <c r="B37" s="11">
        <f>IFERROR(__xludf.DUMMYFUNCTION("""COMPUTED_VALUE"""),1.0)</f>
        <v>1</v>
      </c>
      <c r="C37" s="10" t="s">
        <v>115</v>
      </c>
      <c r="D37" s="12" t="str">
        <f>IFERROR(__xludf.DUMMYFUNCTION("""COMPUTED_VALUE"""),"Lucas Farias de Medeiros")</f>
        <v>Lucas Farias de Medeiros</v>
      </c>
    </row>
    <row r="38">
      <c r="A38" s="11" t="str">
        <f>IFERROR(__xludf.DUMMYFUNCTION("""COMPUTED_VALUE"""),"Sábado (18/04) - 1h00 às 1h30")</f>
        <v>Sábado (18/04) - 1h00 às 1h30</v>
      </c>
      <c r="B38" s="11">
        <f>IFERROR(__xludf.DUMMYFUNCTION("""COMPUTED_VALUE"""),1.0)</f>
        <v>1</v>
      </c>
      <c r="C38" s="10" t="s">
        <v>134</v>
      </c>
      <c r="D38" s="12" t="str">
        <f>IFERROR(__xludf.DUMMYFUNCTION("""COMPUTED_VALUE"""),"Lucas Farias de Medeiros")</f>
        <v>Lucas Farias de Medeiros</v>
      </c>
    </row>
    <row r="39">
      <c r="A39" s="11" t="str">
        <f>IFERROR(__xludf.DUMMYFUNCTION("""COMPUTED_VALUE"""),"Sábado (18/04) - 1h30 às 2h00")</f>
        <v>Sábado (18/04) - 1h30 às 2h00</v>
      </c>
      <c r="B39" s="11">
        <f>IFERROR(__xludf.DUMMYFUNCTION("""COMPUTED_VALUE"""),1.0)</f>
        <v>1</v>
      </c>
      <c r="C39" s="10" t="s">
        <v>165</v>
      </c>
      <c r="D39" s="12" t="str">
        <f>IFERROR(__xludf.DUMMYFUNCTION("""COMPUTED_VALUE"""),"Lucas Farias de Medeiros")</f>
        <v>Lucas Farias de Medeiros</v>
      </c>
    </row>
    <row r="40">
      <c r="A40" s="11" t="str">
        <f>IFERROR(__xludf.DUMMYFUNCTION("""COMPUTED_VALUE"""),"Sábado (18/04) - 2h00 às 2h30")</f>
        <v>Sábado (18/04) - 2h00 às 2h30</v>
      </c>
      <c r="B40" s="11">
        <f>IFERROR(__xludf.DUMMYFUNCTION("""COMPUTED_VALUE"""),1.0)</f>
        <v>1</v>
      </c>
      <c r="C40" s="11"/>
      <c r="D40" s="12" t="str">
        <f>IFERROR(__xludf.DUMMYFUNCTION("""COMPUTED_VALUE"""),"Lucas Farias de Medeiros")</f>
        <v>Lucas Farias de Medeiros</v>
      </c>
    </row>
    <row r="41">
      <c r="A41" s="11" t="str">
        <f>IFERROR(__xludf.DUMMYFUNCTION("""COMPUTED_VALUE"""),"Sábado (18/04) - 2h30 às 3h00")</f>
        <v>Sábado (18/04) - 2h30 às 3h00</v>
      </c>
      <c r="B41" s="11">
        <f>IFERROR(__xludf.DUMMYFUNCTION("""COMPUTED_VALUE"""),1.0)</f>
        <v>1</v>
      </c>
      <c r="C41" s="10" t="s">
        <v>114</v>
      </c>
      <c r="D41" s="12" t="str">
        <f>IFERROR(__xludf.DUMMYFUNCTION("""COMPUTED_VALUE"""),"Lucas Farias de Medeiros")</f>
        <v>Lucas Farias de Medeiros</v>
      </c>
    </row>
    <row r="42">
      <c r="A42" s="11" t="str">
        <f>IFERROR(__xludf.DUMMYFUNCTION("""COMPUTED_VALUE"""),"Sábado (18/04) - 3h00 às 3h30")</f>
        <v>Sábado (18/04) - 3h00 às 3h30</v>
      </c>
      <c r="B42" s="11">
        <f>IFERROR(__xludf.DUMMYFUNCTION("""COMPUTED_VALUE"""),1.0)</f>
        <v>1</v>
      </c>
      <c r="C42" s="10" t="s">
        <v>166</v>
      </c>
      <c r="D42" s="12" t="str">
        <f>IFERROR(__xludf.DUMMYFUNCTION("""COMPUTED_VALUE"""),"Lucas Farias de Medeiros")</f>
        <v>Lucas Farias de Medeiros</v>
      </c>
    </row>
    <row r="43">
      <c r="A43" s="11" t="str">
        <f>IFERROR(__xludf.DUMMYFUNCTION("""COMPUTED_VALUE"""),"Sábado (18/04) - 3h30 às 4h00")</f>
        <v>Sábado (18/04) - 3h30 às 4h00</v>
      </c>
      <c r="B43" s="11">
        <f>IFERROR(__xludf.DUMMYFUNCTION("""COMPUTED_VALUE"""),1.0)</f>
        <v>1</v>
      </c>
      <c r="C43" s="10" t="s">
        <v>141</v>
      </c>
      <c r="D43" s="12" t="str">
        <f>IFERROR(__xludf.DUMMYFUNCTION("""COMPUTED_VALUE"""),"Lucas Farias de Medeiros")</f>
        <v>Lucas Farias de Medeiros</v>
      </c>
    </row>
    <row r="44">
      <c r="A44" s="11" t="str">
        <f>IFERROR(__xludf.DUMMYFUNCTION("""COMPUTED_VALUE"""),"Sábado (18/04) - 4h00 às 4h30")</f>
        <v>Sábado (18/04) - 4h00 às 4h30</v>
      </c>
      <c r="B44" s="11">
        <f>IFERROR(__xludf.DUMMYFUNCTION("""COMPUTED_VALUE"""),1.0)</f>
        <v>1</v>
      </c>
      <c r="C44" s="11"/>
      <c r="D44" s="12" t="str">
        <f>IFERROR(__xludf.DUMMYFUNCTION("""COMPUTED_VALUE"""),"Lucas Farias de Medeiros")</f>
        <v>Lucas Farias de Medeiros</v>
      </c>
    </row>
    <row r="45">
      <c r="A45" s="11" t="str">
        <f>IFERROR(__xludf.DUMMYFUNCTION("""COMPUTED_VALUE"""),"Sábado (18/04) - 4h30 às 5h00")</f>
        <v>Sábado (18/04) - 4h30 às 5h00</v>
      </c>
      <c r="B45" s="11">
        <f>IFERROR(__xludf.DUMMYFUNCTION("""COMPUTED_VALUE"""),1.0)</f>
        <v>1</v>
      </c>
      <c r="C45" s="10" t="s">
        <v>147</v>
      </c>
      <c r="D45" s="12" t="str">
        <f>IFERROR(__xludf.DUMMYFUNCTION("""COMPUTED_VALUE"""),"Lucas Farias de Medeiros")</f>
        <v>Lucas Farias de Medeiros</v>
      </c>
    </row>
    <row r="46">
      <c r="A46" s="11" t="str">
        <f>IFERROR(__xludf.DUMMYFUNCTION("""COMPUTED_VALUE"""),"Sábado (18/04) - 5h00 às 5h30")</f>
        <v>Sábado (18/04) - 5h00 às 5h30</v>
      </c>
      <c r="B46" s="11">
        <f>IFERROR(__xludf.DUMMYFUNCTION("""COMPUTED_VALUE"""),1.0)</f>
        <v>1</v>
      </c>
      <c r="C46" s="10" t="s">
        <v>130</v>
      </c>
      <c r="D46" s="12" t="str">
        <f>IFERROR(__xludf.DUMMYFUNCTION("""COMPUTED_VALUE"""),"Lucas Farias de Medeiros")</f>
        <v>Lucas Farias de Medeiros</v>
      </c>
    </row>
    <row r="47">
      <c r="A47" s="11" t="str">
        <f>IFERROR(__xludf.DUMMYFUNCTION("""COMPUTED_VALUE"""),"Sábado (18/04) - 5h30 às 6h00")</f>
        <v>Sábado (18/04) - 5h30 às 6h00</v>
      </c>
      <c r="B47" s="11">
        <f>IFERROR(__xludf.DUMMYFUNCTION("""COMPUTED_VALUE"""),1.0)</f>
        <v>1</v>
      </c>
      <c r="C47" s="10" t="s">
        <v>167</v>
      </c>
      <c r="D47" s="12" t="str">
        <f>IFERROR(__xludf.DUMMYFUNCTION("""COMPUTED_VALUE"""),"Lucas Farias de Medeiros")</f>
        <v>Lucas Farias de Medeiros</v>
      </c>
    </row>
    <row r="48">
      <c r="A48" s="11" t="str">
        <f>IFERROR(__xludf.DUMMYFUNCTION("""COMPUTED_VALUE"""),"Sábado (18/04) - 6h00 às 6h30")</f>
        <v>Sábado (18/04) - 6h00 às 6h30</v>
      </c>
      <c r="B48" s="11">
        <f>IFERROR(__xludf.DUMMYFUNCTION("""COMPUTED_VALUE"""),1.0)</f>
        <v>1</v>
      </c>
      <c r="C48" s="11"/>
      <c r="D48" s="12" t="str">
        <f>IFERROR(__xludf.DUMMYFUNCTION("""COMPUTED_VALUE"""),"Lucas Farias de Medeiros")</f>
        <v>Lucas Farias de Medeiros</v>
      </c>
    </row>
    <row r="49">
      <c r="A49" s="11" t="str">
        <f>IFERROR(__xludf.DUMMYFUNCTION("""COMPUTED_VALUE"""),"Sábado (18/04) - 6h30 às 7h00")</f>
        <v>Sábado (18/04) - 6h30 às 7h00</v>
      </c>
      <c r="B49" s="11">
        <f>IFERROR(__xludf.DUMMYFUNCTION("""COMPUTED_VALUE"""),1.0)</f>
        <v>1</v>
      </c>
      <c r="C49" s="13" t="s">
        <v>150</v>
      </c>
      <c r="D49" s="12" t="str">
        <f>IFERROR(__xludf.DUMMYFUNCTION("""COMPUTED_VALUE"""),"Lucas Farias de Medeiros")</f>
        <v>Lucas Farias de Medeiros</v>
      </c>
    </row>
  </sheetData>
  <conditionalFormatting sqref="B2:B49">
    <cfRule type="cellIs" dxfId="5" priority="1" stopIfTrue="1" operator="lessThanOrEqual">
      <formula>0</formula>
    </cfRule>
  </conditionalFormatting>
  <conditionalFormatting sqref="B2:B49">
    <cfRule type="cellIs" dxfId="6" priority="2" stopIfTrue="1" operator="greaterThan">
      <formula>0</formula>
    </cfRule>
  </conditionalFormatting>
  <drawing r:id="rId1"/>
</worksheet>
</file>